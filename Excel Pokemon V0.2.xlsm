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75" windowWidth="19875" windowHeight="7710" activeTab="4"/>
  </bookViews>
  <sheets>
    <sheet name="Play" sheetId="2" r:id="rId1"/>
    <sheet name="Battle" sheetId="3" r:id="rId2"/>
    <sheet name="info" sheetId="5" r:id="rId3"/>
    <sheet name="Data" sheetId="69" r:id="rId4"/>
    <sheet name="0.0" sheetId="71" r:id="rId5"/>
  </sheets>
  <definedNames>
    <definedName name="Col">Data!$I$3</definedName>
    <definedName name="Row">Data!$H$3</definedName>
  </definedNames>
  <calcPr calcId="145621"/>
</workbook>
</file>

<file path=xl/calcChain.xml><?xml version="1.0" encoding="utf-8"?>
<calcChain xmlns="http://schemas.openxmlformats.org/spreadsheetml/2006/main">
  <c r="BV419" i="69" l="1"/>
  <c r="BP419" i="69" s="1"/>
  <c r="BJ419" i="69" s="1"/>
  <c r="BD419" i="69" s="1"/>
  <c r="AX419" i="69" s="1"/>
  <c r="AR419" i="69" s="1"/>
  <c r="AL419" i="69" s="1"/>
  <c r="AF419" i="69" s="1"/>
  <c r="BW419" i="69"/>
  <c r="BQ419" i="69" s="1"/>
  <c r="BK419" i="69" s="1"/>
  <c r="BE419" i="69" s="1"/>
  <c r="AY419" i="69" s="1"/>
  <c r="AS419" i="69" s="1"/>
  <c r="AM419" i="69" s="1"/>
  <c r="AG419" i="69" s="1"/>
  <c r="BX419" i="69"/>
  <c r="BR419" i="69" s="1"/>
  <c r="BL419" i="69" s="1"/>
  <c r="BF419" i="69" s="1"/>
  <c r="AZ419" i="69" s="1"/>
  <c r="AT419" i="69" s="1"/>
  <c r="AN419" i="69" s="1"/>
  <c r="AH419" i="69" s="1"/>
  <c r="BY419" i="69"/>
  <c r="BS419" i="69" s="1"/>
  <c r="BM419" i="69" s="1"/>
  <c r="BG419" i="69" s="1"/>
  <c r="BA419" i="69" s="1"/>
  <c r="AU419" i="69" s="1"/>
  <c r="AO419" i="69" s="1"/>
  <c r="AI419" i="69" s="1"/>
  <c r="BZ419" i="69"/>
  <c r="BT419" i="69" s="1"/>
  <c r="BN419" i="69" s="1"/>
  <c r="BH419" i="69" s="1"/>
  <c r="BB419" i="69" s="1"/>
  <c r="AV419" i="69" s="1"/>
  <c r="AP419" i="69" s="1"/>
  <c r="AJ419" i="69" s="1"/>
  <c r="CA419" i="69"/>
  <c r="BU419" i="69" s="1"/>
  <c r="BO419" i="69" s="1"/>
  <c r="BI419" i="69" s="1"/>
  <c r="BC419" i="69" s="1"/>
  <c r="AW419" i="69" s="1"/>
  <c r="AQ419" i="69" s="1"/>
  <c r="AK419" i="69" s="1"/>
  <c r="AK20" i="3" l="1"/>
  <c r="AI20" i="3"/>
  <c r="AJ20" i="3"/>
  <c r="AL20" i="3"/>
  <c r="AM20" i="3"/>
  <c r="AN20" i="3"/>
  <c r="AN25" i="3"/>
  <c r="AM25" i="3"/>
  <c r="AL25" i="3"/>
  <c r="AK25" i="3"/>
  <c r="AJ25" i="3"/>
  <c r="AI25" i="3"/>
  <c r="AG22" i="3"/>
  <c r="AG17" i="3"/>
  <c r="M3" i="69" l="1"/>
  <c r="AE3" i="3" l="1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 s="1"/>
  <c r="G3" i="3" s="1"/>
  <c r="F3" i="3" s="1"/>
  <c r="E3" i="3" s="1"/>
  <c r="D3" i="3" s="1"/>
  <c r="C3" i="3" s="1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 s="1"/>
  <c r="I8" i="3" s="1"/>
  <c r="H8" i="3" s="1"/>
  <c r="G8" i="3" s="1"/>
  <c r="F8" i="3" s="1"/>
  <c r="E8" i="3" s="1"/>
  <c r="D8" i="3" s="1"/>
  <c r="C8" i="3" s="1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 s="1"/>
  <c r="AN24" i="3" s="1"/>
  <c r="AM24" i="3" s="1"/>
  <c r="AL24" i="3" s="1"/>
  <c r="AK24" i="3" s="1"/>
  <c r="AJ24" i="3" s="1"/>
  <c r="AI24" i="3" s="1"/>
  <c r="BK19" i="3"/>
  <c r="BJ19" i="3"/>
  <c r="AR19" i="3"/>
  <c r="AQ19" i="3" s="1"/>
  <c r="AP19" i="3" s="1"/>
  <c r="AO19" i="3" s="1"/>
  <c r="AN19" i="3" s="1"/>
  <c r="AM19" i="3" s="1"/>
  <c r="AL19" i="3" s="1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Z419" i="69"/>
  <c r="T419" i="69" s="1"/>
  <c r="N419" i="69" s="1"/>
  <c r="AA419" i="69"/>
  <c r="U419" i="69" s="1"/>
  <c r="O419" i="69" s="1"/>
  <c r="AB419" i="69"/>
  <c r="V419" i="69" s="1"/>
  <c r="P419" i="69" s="1"/>
  <c r="AC419" i="69"/>
  <c r="W419" i="69" s="1"/>
  <c r="Q419" i="69" s="1"/>
  <c r="AD419" i="69"/>
  <c r="X419" i="69" s="1"/>
  <c r="R419" i="69" s="1"/>
  <c r="AE419" i="69"/>
  <c r="Y419" i="69" s="1"/>
  <c r="S419" i="69" s="1"/>
  <c r="AK19" i="3" l="1"/>
  <c r="V5" i="69"/>
  <c r="W5" i="69" s="1"/>
  <c r="S5" i="69"/>
  <c r="T5" i="69" s="1"/>
  <c r="P5" i="69"/>
  <c r="Q5" i="69" s="1"/>
  <c r="M5" i="69"/>
  <c r="N5" i="69" s="1"/>
  <c r="B3" i="69"/>
  <c r="F3" i="69" s="1"/>
  <c r="AB8" i="5"/>
  <c r="AC8" i="5" s="1"/>
  <c r="AD8" i="5" s="1"/>
  <c r="AE8" i="5" s="1"/>
  <c r="AF8" i="5" s="1"/>
  <c r="AG8" i="5" s="1"/>
  <c r="AD7" i="5"/>
  <c r="AE7" i="5" s="1"/>
  <c r="AF7" i="5" s="1"/>
  <c r="AG7" i="5" s="1"/>
  <c r="AC7" i="5"/>
  <c r="AA7" i="5"/>
  <c r="Z7" i="5" s="1"/>
  <c r="Y7" i="5" s="1"/>
  <c r="X7" i="5" s="1"/>
  <c r="W7" i="5" s="1"/>
  <c r="AB6" i="5"/>
  <c r="AA6" i="5" s="1"/>
  <c r="Z6" i="5" s="1"/>
  <c r="Y6" i="5" s="1"/>
  <c r="X6" i="5" s="1"/>
  <c r="W6" i="5" s="1"/>
  <c r="AJ19" i="3" l="1"/>
  <c r="AI19" i="3" s="1"/>
  <c r="D3" i="69"/>
  <c r="AB5" i="5"/>
  <c r="AC6" i="5"/>
  <c r="AD6" i="5" s="1"/>
  <c r="AE6" i="5" s="1"/>
  <c r="AF6" i="5" s="1"/>
  <c r="AG6" i="5" s="1"/>
  <c r="AA8" i="5"/>
  <c r="Z8" i="5" s="1"/>
  <c r="Y8" i="5" s="1"/>
  <c r="X8" i="5" s="1"/>
  <c r="W8" i="5" s="1"/>
  <c r="AB9" i="5"/>
  <c r="AC9" i="5" l="1"/>
  <c r="AD9" i="5" s="1"/>
  <c r="AE9" i="5" s="1"/>
  <c r="AF9" i="5" s="1"/>
  <c r="AG9" i="5" s="1"/>
  <c r="AB10" i="5"/>
  <c r="AA9" i="5"/>
  <c r="Z9" i="5" s="1"/>
  <c r="Y9" i="5" s="1"/>
  <c r="X9" i="5" s="1"/>
  <c r="W9" i="5" s="1"/>
  <c r="AC5" i="5"/>
  <c r="AD5" i="5" s="1"/>
  <c r="AE5" i="5" s="1"/>
  <c r="AF5" i="5" s="1"/>
  <c r="AG5" i="5" s="1"/>
  <c r="AB4" i="5"/>
  <c r="AA5" i="5"/>
  <c r="Z5" i="5" s="1"/>
  <c r="Y5" i="5" s="1"/>
  <c r="X5" i="5" s="1"/>
  <c r="W5" i="5" s="1"/>
  <c r="AB11" i="5" l="1"/>
  <c r="AA10" i="5"/>
  <c r="Z10" i="5" s="1"/>
  <c r="Y10" i="5" s="1"/>
  <c r="X10" i="5" s="1"/>
  <c r="W10" i="5" s="1"/>
  <c r="AC10" i="5"/>
  <c r="AD10" i="5" s="1"/>
  <c r="AE10" i="5" s="1"/>
  <c r="AF10" i="5" s="1"/>
  <c r="AG10" i="5" s="1"/>
  <c r="AC4" i="5"/>
  <c r="AD4" i="5" s="1"/>
  <c r="AE4" i="5" s="1"/>
  <c r="AF4" i="5" s="1"/>
  <c r="AG4" i="5" s="1"/>
  <c r="AB3" i="5"/>
  <c r="AA4" i="5"/>
  <c r="Z4" i="5" s="1"/>
  <c r="Y4" i="5" s="1"/>
  <c r="X4" i="5" s="1"/>
  <c r="W4" i="5" s="1"/>
  <c r="AA3" i="5" l="1"/>
  <c r="Z3" i="5" s="1"/>
  <c r="Y3" i="5" s="1"/>
  <c r="X3" i="5" s="1"/>
  <c r="W3" i="5" s="1"/>
  <c r="AC3" i="5"/>
  <c r="AD3" i="5" s="1"/>
  <c r="AE3" i="5" s="1"/>
  <c r="AF3" i="5" s="1"/>
  <c r="AG3" i="5" s="1"/>
  <c r="AB2" i="5"/>
  <c r="AB12" i="5"/>
  <c r="AA11" i="5"/>
  <c r="Z11" i="5" s="1"/>
  <c r="Y11" i="5" s="1"/>
  <c r="X11" i="5" s="1"/>
  <c r="W11" i="5" s="1"/>
  <c r="AC11" i="5"/>
  <c r="AD11" i="5" s="1"/>
  <c r="AE11" i="5" s="1"/>
  <c r="AF11" i="5" s="1"/>
  <c r="AG11" i="5" s="1"/>
  <c r="AC12" i="5" l="1"/>
  <c r="AD12" i="5" s="1"/>
  <c r="AE12" i="5" s="1"/>
  <c r="AF12" i="5" s="1"/>
  <c r="AG12" i="5" s="1"/>
  <c r="AA12" i="5"/>
  <c r="Z12" i="5" s="1"/>
  <c r="Y12" i="5" s="1"/>
  <c r="X12" i="5" s="1"/>
  <c r="W12" i="5" s="1"/>
  <c r="AA2" i="5"/>
  <c r="Z2" i="5" s="1"/>
  <c r="Y2" i="5" s="1"/>
  <c r="X2" i="5" s="1"/>
  <c r="W2" i="5" s="1"/>
  <c r="AC2" i="5"/>
  <c r="AD2" i="5" s="1"/>
  <c r="AE2" i="5" s="1"/>
  <c r="AF2" i="5" s="1"/>
  <c r="AG2" i="5" s="1"/>
</calcChain>
</file>

<file path=xl/comments1.xml><?xml version="1.0" encoding="utf-8"?>
<comments xmlns="http://schemas.openxmlformats.org/spreadsheetml/2006/main">
  <authors>
    <author>Jelle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Jelle:</t>
        </r>
        <r>
          <rPr>
            <sz val="9"/>
            <color indexed="81"/>
            <rFont val="Tahoma"/>
            <family val="2"/>
          </rPr>
          <t xml:space="preserve">
Check of battle is going</t>
        </r>
      </text>
    </comment>
  </commentList>
</comments>
</file>

<file path=xl/comments2.xml><?xml version="1.0" encoding="utf-8"?>
<comments xmlns="http://schemas.openxmlformats.org/spreadsheetml/2006/main">
  <authors>
    <author>Wietsma, Jelle</author>
    <author>Jelle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Wietsma, Jelle:</t>
        </r>
        <r>
          <rPr>
            <sz val="9"/>
            <color indexed="81"/>
            <rFont val="Tahoma"/>
            <family val="2"/>
          </rPr>
          <t xml:space="preserve">
random number 0-10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Wietsma, Jelle:</t>
        </r>
        <r>
          <rPr>
            <sz val="9"/>
            <color indexed="81"/>
            <rFont val="Tahoma"/>
            <family val="2"/>
          </rPr>
          <t xml:space="preserve">
Pokemon find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Wietsma, Jelle:</t>
        </r>
        <r>
          <rPr>
            <sz val="9"/>
            <color indexed="81"/>
            <rFont val="Tahoma"/>
            <family val="2"/>
          </rPr>
          <t xml:space="preserve">
Enemy atack</t>
        </r>
      </text>
    </comment>
    <comment ref="H3" authorId="1">
      <text>
        <r>
          <rPr>
            <b/>
            <sz val="9"/>
            <color indexed="81"/>
            <rFont val="Tahoma"/>
            <family val="2"/>
          </rPr>
          <t xml:space="preserve">Jelle:
</t>
        </r>
        <r>
          <rPr>
            <sz val="9"/>
            <color indexed="81"/>
            <rFont val="Tahoma"/>
            <family val="2"/>
          </rPr>
          <t>PreviousRow</t>
        </r>
      </text>
    </comment>
    <comment ref="I3" authorId="1">
      <text>
        <r>
          <rPr>
            <b/>
            <sz val="9"/>
            <color indexed="81"/>
            <rFont val="Tahoma"/>
            <family val="2"/>
          </rPr>
          <t>Jelle:</t>
        </r>
        <r>
          <rPr>
            <sz val="9"/>
            <color indexed="81"/>
            <rFont val="Tahoma"/>
            <family val="2"/>
          </rPr>
          <t xml:space="preserve">
PreviousCol
</t>
        </r>
      </text>
    </comment>
    <comment ref="K3" authorId="1">
      <text>
        <r>
          <rPr>
            <b/>
            <sz val="9"/>
            <color indexed="81"/>
            <rFont val="Tahoma"/>
            <family val="2"/>
          </rPr>
          <t>Jelle:</t>
        </r>
        <r>
          <rPr>
            <sz val="9"/>
            <color indexed="81"/>
            <rFont val="Tahoma"/>
            <family val="2"/>
          </rPr>
          <t xml:space="preserve">
X</t>
        </r>
      </text>
    </comment>
    <comment ref="L3" authorId="1">
      <text>
        <r>
          <rPr>
            <b/>
            <sz val="9"/>
            <color indexed="81"/>
            <rFont val="Tahoma"/>
            <family val="2"/>
          </rPr>
          <t>Jelle:</t>
        </r>
        <r>
          <rPr>
            <sz val="9"/>
            <color indexed="81"/>
            <rFont val="Tahoma"/>
            <family val="2"/>
          </rPr>
          <t xml:space="preserve">
Y</t>
        </r>
      </text>
    </comment>
    <comment ref="M3" authorId="1">
      <text>
        <r>
          <rPr>
            <b/>
            <sz val="9"/>
            <color indexed="81"/>
            <rFont val="Tahoma"/>
            <family val="2"/>
          </rPr>
          <t>Jelle:</t>
        </r>
        <r>
          <rPr>
            <sz val="9"/>
            <color indexed="81"/>
            <rFont val="Tahoma"/>
            <family val="2"/>
          </rPr>
          <t xml:space="preserve">
Chunk XY
</t>
        </r>
      </text>
    </comment>
    <comment ref="O3" authorId="1">
      <text>
        <r>
          <rPr>
            <b/>
            <sz val="9"/>
            <color indexed="81"/>
            <rFont val="Tahoma"/>
            <family val="2"/>
          </rPr>
          <t xml:space="preserve">Jelle:
</t>
        </r>
        <r>
          <rPr>
            <sz val="9"/>
            <color indexed="81"/>
            <rFont val="Tahoma"/>
            <family val="2"/>
          </rPr>
          <t>PreviousRow</t>
        </r>
      </text>
    </comment>
    <comment ref="P3" authorId="1">
      <text>
        <r>
          <rPr>
            <b/>
            <sz val="9"/>
            <color indexed="81"/>
            <rFont val="Tahoma"/>
            <family val="2"/>
          </rPr>
          <t>Jelle:</t>
        </r>
        <r>
          <rPr>
            <sz val="9"/>
            <color indexed="81"/>
            <rFont val="Tahoma"/>
            <family val="2"/>
          </rPr>
          <t xml:space="preserve">
PreviousCol
</t>
        </r>
      </text>
    </comment>
  </commentList>
</comments>
</file>

<file path=xl/sharedStrings.xml><?xml version="1.0" encoding="utf-8"?>
<sst xmlns="http://schemas.openxmlformats.org/spreadsheetml/2006/main" count="811" uniqueCount="789">
  <si>
    <t>.interior.colorindex = 1</t>
  </si>
  <si>
    <t>.interior.colorindex = 2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</si>
  <si>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</si>
  <si>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</si>
  <si>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</si>
  <si>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</si>
  <si>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</si>
  <si>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</si>
  <si>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</si>
  <si>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</si>
  <si>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</si>
  <si>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</si>
  <si>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</si>
  <si>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</si>
  <si>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</si>
  <si>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</si>
  <si>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</si>
  <si>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</si>
  <si>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</si>
  <si>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</si>
  <si>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</si>
  <si>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</si>
  <si>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</si>
  <si>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</si>
  <si>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</si>
  <si>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</si>
  <si>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</si>
  <si>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</si>
  <si>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</si>
  <si>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</si>
  <si>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</si>
  <si>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</si>
  <si>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</si>
  <si>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</si>
  <si>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</si>
  <si>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</si>
  <si>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</si>
  <si>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</si>
  <si>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</si>
  <si>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</si>
  <si>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</si>
  <si>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</si>
  <si>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</si>
  <si>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</si>
  <si>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</si>
  <si>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</si>
  <si>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</si>
  <si>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</si>
  <si>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</si>
  <si>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</si>
  <si>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</si>
  <si>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</si>
  <si>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</si>
  <si>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</si>
  <si>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</si>
  <si>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</si>
  <si>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</si>
  <si>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</si>
  <si>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</si>
  <si>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Wall</t>
  </si>
  <si>
    <t>Nothing</t>
  </si>
  <si>
    <t>Death</t>
  </si>
  <si>
    <t>Human</t>
  </si>
  <si>
    <t>Action (water tree grass)</t>
  </si>
  <si>
    <t>Push block</t>
  </si>
  <si>
    <t>Switch on</t>
  </si>
  <si>
    <t>Switch off</t>
  </si>
  <si>
    <t>TP 1</t>
  </si>
  <si>
    <t>TP 2</t>
  </si>
  <si>
    <t>Stairs</t>
  </si>
  <si>
    <t>.Interior.Pattern = xlGray75</t>
  </si>
  <si>
    <t>.Interior.Pattern = xlGray50</t>
  </si>
  <si>
    <t>.Interior.Pattern = xlGray25</t>
  </si>
  <si>
    <t>.Interior.Pattern = xlGray16</t>
  </si>
  <si>
    <t>.Interior.Pattern = xlGray8</t>
  </si>
  <si>
    <t>.Interior.Pattern = xlHorizontal</t>
  </si>
  <si>
    <t>.Interior.Pattern = xlVertical</t>
  </si>
  <si>
    <t>.Interior.Pattern = xlDown</t>
  </si>
  <si>
    <t>.Interior.Pattern = xlUp</t>
  </si>
  <si>
    <t>.Interior.Pattern = xlChecker</t>
  </si>
  <si>
    <t>.Interior.Pattern = xlSemiGray75</t>
  </si>
  <si>
    <t>.Interior.Pattern = xlLightHorizontal</t>
  </si>
  <si>
    <t>.Interior.Pattern = xlLightVertical</t>
  </si>
  <si>
    <t>.Interior.Pattern = xlLightDown</t>
  </si>
  <si>
    <t>.Interior.Pattern = xlLightUp</t>
  </si>
  <si>
    <t>.Interior.Pattern = xlGrid</t>
  </si>
  <si>
    <t>.Interior.Pattern = xlCrissCross</t>
  </si>
  <si>
    <t>.Interior.Pattern = xlSolid</t>
  </si>
  <si>
    <t>.Interior.PatternThemeColor = 1</t>
  </si>
  <si>
    <t>.Interior.PatternThemeColor = 2</t>
  </si>
  <si>
    <t>.Interior.PatternThemeColor = 3</t>
  </si>
  <si>
    <t>.Interior.PatternThemeColor = 4</t>
  </si>
  <si>
    <t>.Interior.PatternThemeColor = 5</t>
  </si>
  <si>
    <t>.Interior.PatternThemeColor = 6</t>
  </si>
  <si>
    <t>.Interior.PatternThemeColor = 7</t>
  </si>
  <si>
    <t>.Interior.PatternThemeColor = 8</t>
  </si>
  <si>
    <t>.Interior.PatternThemeColor = 9</t>
  </si>
  <si>
    <t>.Interior.PatternThemeColor = 11</t>
  </si>
  <si>
    <t>.Interior.PatternThemeColor = 12</t>
  </si>
  <si>
    <t>.Interior.PatternThemeColor = 10</t>
  </si>
  <si>
    <t>Heal</t>
  </si>
  <si>
    <t xml:space="preserve"> </t>
  </si>
  <si>
    <t>0.0</t>
  </si>
  <si>
    <t>NR</t>
  </si>
  <si>
    <t>Naam</t>
  </si>
  <si>
    <t>Type pokemon</t>
  </si>
  <si>
    <t>HP</t>
  </si>
  <si>
    <t>Attack</t>
  </si>
  <si>
    <t>Defence</t>
  </si>
  <si>
    <t>SP atack</t>
  </si>
  <si>
    <t>SP defence</t>
  </si>
  <si>
    <t>Speed</t>
  </si>
  <si>
    <t>Evalueer LVL</t>
  </si>
  <si>
    <t>Minium bijheid evaluatie</t>
  </si>
  <si>
    <t>Evalueert in</t>
  </si>
  <si>
    <t>Bulbasaur</t>
  </si>
  <si>
    <t>Ivysaur</t>
  </si>
  <si>
    <t>Venusaur</t>
  </si>
  <si>
    <t>Charmander</t>
  </si>
  <si>
    <t>Charmeleon</t>
  </si>
  <si>
    <t>Charizard</t>
  </si>
  <si>
    <t>Squirtle</t>
  </si>
  <si>
    <t>Wartortle</t>
  </si>
  <si>
    <t>Blastoise</t>
  </si>
  <si>
    <t>Caterpie</t>
  </si>
  <si>
    <t>Metapod</t>
  </si>
  <si>
    <t>Butterfree</t>
  </si>
  <si>
    <t>Weedle</t>
  </si>
  <si>
    <t>Kakuna</t>
  </si>
  <si>
    <t>Beedrill</t>
  </si>
  <si>
    <t>Pidgey</t>
  </si>
  <si>
    <t>Pidgeotto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</si>
  <si>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</si>
  <si>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</si>
  <si>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</si>
  <si>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</si>
  <si>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</si>
  <si>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</si>
  <si>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</si>
  <si>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</si>
  <si>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Raichu</t>
  </si>
  <si>
    <t>Sandshrew</t>
  </si>
  <si>
    <t>Sandslash</t>
  </si>
  <si>
    <t>Nidoran♀</t>
  </si>
  <si>
    <t>Nidorina</t>
  </si>
  <si>
    <t>Nidoqueen</t>
  </si>
  <si>
    <t>Nidoran♂</t>
  </si>
  <si>
    <t>Nidorino</t>
  </si>
  <si>
    <t>Nidoking</t>
  </si>
  <si>
    <t>Clefairy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</si>
  <si>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</si>
  <si>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</si>
  <si>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</si>
  <si>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</si>
  <si>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</si>
  <si>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</si>
  <si>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</si>
  <si>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</si>
  <si>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</si>
  <si>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</si>
  <si>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</si>
  <si>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</si>
  <si>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</si>
  <si>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</si>
  <si>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</si>
  <si>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</si>
  <si>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</si>
  <si>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</si>
  <si>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</si>
  <si>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</si>
  <si>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</si>
  <si>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</si>
  <si>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Growlithe</t>
  </si>
  <si>
    <t>Arcanine</t>
  </si>
  <si>
    <t>Poliwag</t>
  </si>
  <si>
    <t>Poliwhirl</t>
  </si>
  <si>
    <t>Poliwrath</t>
  </si>
  <si>
    <t>Abra</t>
  </si>
  <si>
    <t>Kadabra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</si>
  <si>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</si>
  <si>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</si>
  <si>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</si>
  <si>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</si>
  <si>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</si>
  <si>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</si>
  <si>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</si>
  <si>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</si>
  <si>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</si>
  <si>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</si>
  <si>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</si>
  <si>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Golem</t>
  </si>
  <si>
    <t>Ponyta</t>
  </si>
  <si>
    <t>Rapidash</t>
  </si>
  <si>
    <t>Slowpoke</t>
  </si>
  <si>
    <t>Slowbro</t>
  </si>
  <si>
    <t>Magnemite</t>
  </si>
  <si>
    <t>Magneton</t>
  </si>
  <si>
    <t>Farfetch'd</t>
  </si>
  <si>
    <t>Doduo</t>
  </si>
  <si>
    <t>Dodrio</t>
  </si>
  <si>
    <t>Seel</t>
  </si>
  <si>
    <t>Dewgong</t>
  </si>
  <si>
    <t>Grimer</t>
  </si>
  <si>
    <t>Muk</t>
  </si>
  <si>
    <t>Shellder</t>
  </si>
  <si>
    <t>Cloyster</t>
  </si>
  <si>
    <t>Gastly</t>
  </si>
  <si>
    <t>Haunter</t>
  </si>
  <si>
    <t>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</si>
  <si>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</si>
  <si>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</si>
  <si>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</si>
  <si>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</si>
  <si>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</si>
  <si>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</si>
  <si>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</si>
  <si>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</si>
  <si>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</si>
  <si>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</si>
  <si>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</si>
  <si>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</si>
  <si>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</si>
  <si>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</si>
  <si>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</si>
  <si>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</si>
  <si>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</si>
  <si>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</si>
  <si>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</si>
  <si>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</si>
  <si>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</si>
  <si>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</si>
  <si>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</si>
  <si>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</si>
  <si>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</si>
  <si>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</si>
  <si>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</si>
  <si>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</si>
  <si>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</si>
  <si>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</si>
  <si>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</si>
  <si>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</si>
  <si>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</si>
  <si>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</si>
  <si>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</si>
  <si>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</si>
  <si>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</si>
  <si>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</si>
  <si>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</si>
  <si>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</si>
  <si>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</si>
  <si>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</si>
  <si>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</si>
  <si>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</si>
  <si>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</si>
  <si>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</si>
  <si>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</si>
  <si>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</si>
  <si>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</si>
  <si>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</si>
  <si>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</si>
  <si>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</si>
  <si>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</si>
  <si>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</si>
  <si>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</si>
  <si>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</si>
  <si>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</si>
  <si>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</si>
  <si>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</si>
  <si>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</si>
  <si>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</si>
  <si>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</si>
  <si>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</si>
  <si>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</si>
  <si>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</si>
  <si>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</si>
  <si>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</si>
  <si>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</si>
  <si>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</si>
  <si>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</si>
  <si>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</si>
  <si>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</si>
  <si>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</si>
  <si>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</si>
  <si>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</si>
  <si>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</si>
  <si>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</si>
  <si>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</si>
  <si>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</si>
  <si>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</si>
  <si>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</si>
  <si>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</si>
  <si>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</si>
  <si>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</si>
  <si>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</si>
  <si>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</si>
  <si>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</si>
  <si>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</si>
  <si>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Marril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</si>
  <si>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</si>
  <si>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</si>
  <si>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</si>
  <si>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</si>
  <si>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</si>
  <si>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</si>
  <si>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</si>
  <si>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</si>
  <si>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</si>
  <si>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</si>
  <si>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</si>
  <si>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</si>
  <si>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</si>
  <si>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</si>
  <si>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</si>
  <si>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</si>
  <si>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</si>
  <si>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X</t>
  </si>
  <si>
    <t>Y</t>
  </si>
  <si>
    <t>Wobbuffet</t>
  </si>
  <si>
    <t>Girafarig</t>
  </si>
  <si>
    <t>Pineco</t>
  </si>
  <si>
    <t>Forretress</t>
  </si>
  <si>
    <t>Dunsparce</t>
  </si>
  <si>
    <t>Gligar</t>
  </si>
  <si>
    <t>Steelix</t>
  </si>
  <si>
    <t>Snubbull</t>
  </si>
  <si>
    <t>Granbull</t>
  </si>
  <si>
    <t>Qwilfish</t>
  </si>
  <si>
    <t>Scizor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</si>
  <si>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</si>
  <si>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</si>
  <si>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</si>
  <si>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</si>
  <si>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</si>
  <si>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</si>
  <si>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</si>
  <si>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</si>
  <si>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</si>
  <si>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</si>
  <si>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</si>
  <si>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</si>
  <si>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</si>
  <si>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</si>
  <si>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</si>
  <si>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</si>
  <si>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</si>
  <si>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</si>
  <si>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</si>
  <si>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</si>
  <si>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</si>
  <si>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</si>
  <si>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</si>
  <si>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</si>
  <si>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</si>
  <si>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</si>
  <si>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</si>
  <si>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</si>
  <si>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</si>
  <si>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</si>
  <si>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</si>
  <si>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</si>
  <si>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</si>
  <si>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</si>
  <si>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</si>
  <si>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</si>
  <si>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</si>
  <si>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</si>
  <si>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</si>
  <si>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Nummer</t>
  </si>
  <si>
    <t>HP max</t>
  </si>
  <si>
    <t>Happy</t>
  </si>
  <si>
    <t>Slot</t>
  </si>
  <si>
    <t>Stats</t>
  </si>
  <si>
    <t>Move 1</t>
  </si>
  <si>
    <t>Move 2</t>
  </si>
  <si>
    <t>XY</t>
  </si>
  <si>
    <t>Enemy move</t>
  </si>
  <si>
    <t>Found pokemon</t>
  </si>
  <si>
    <t>Random 0-10</t>
  </si>
  <si>
    <t>Row</t>
  </si>
  <si>
    <t>Col</t>
  </si>
  <si>
    <t>Unown</t>
  </si>
  <si>
    <t>B1-1</t>
  </si>
  <si>
    <t>B1-2</t>
  </si>
  <si>
    <t>B1-3</t>
  </si>
  <si>
    <t>B1-4</t>
  </si>
  <si>
    <t>B1-5</t>
  </si>
  <si>
    <t>B1-6</t>
  </si>
  <si>
    <t>B1-7</t>
  </si>
  <si>
    <t>B1-8</t>
  </si>
  <si>
    <t>B1-9</t>
  </si>
  <si>
    <t>B1-10</t>
  </si>
  <si>
    <t>B1-11</t>
  </si>
  <si>
    <t>B1-12</t>
  </si>
  <si>
    <t>B1-13</t>
  </si>
  <si>
    <t>B1-14</t>
  </si>
  <si>
    <t>B1-15</t>
  </si>
  <si>
    <t>B1-16</t>
  </si>
  <si>
    <t>B1-17</t>
  </si>
  <si>
    <t>B1-18</t>
  </si>
  <si>
    <t>B1-19</t>
  </si>
  <si>
    <t>B1-20</t>
  </si>
  <si>
    <t>B2-1</t>
  </si>
  <si>
    <t>B2-2</t>
  </si>
  <si>
    <t>B2-3</t>
  </si>
  <si>
    <t>B2-4</t>
  </si>
  <si>
    <t>B2-5</t>
  </si>
  <si>
    <t>B2-6</t>
  </si>
  <si>
    <t>B2-7</t>
  </si>
  <si>
    <t>B2-8</t>
  </si>
  <si>
    <t>B2-9</t>
  </si>
  <si>
    <t>B2-10</t>
  </si>
  <si>
    <t>B2-11</t>
  </si>
  <si>
    <t>B2-12</t>
  </si>
  <si>
    <t>B2-13</t>
  </si>
  <si>
    <t>B2-14</t>
  </si>
  <si>
    <t>B2-15</t>
  </si>
  <si>
    <t>B2-16</t>
  </si>
  <si>
    <t>B2-17</t>
  </si>
  <si>
    <t>B2-18</t>
  </si>
  <si>
    <t>B2-19</t>
  </si>
  <si>
    <t>B2-20</t>
  </si>
  <si>
    <t>B3-1</t>
  </si>
  <si>
    <t>B3-2</t>
  </si>
  <si>
    <t>B3-3</t>
  </si>
  <si>
    <t>B3-4</t>
  </si>
  <si>
    <t>B3-5</t>
  </si>
  <si>
    <t>B3-6</t>
  </si>
  <si>
    <t>B3-7</t>
  </si>
  <si>
    <t>B3-8</t>
  </si>
  <si>
    <t>B3-9</t>
  </si>
  <si>
    <t>B3-10</t>
  </si>
  <si>
    <t>B3-11</t>
  </si>
  <si>
    <t>B3-12</t>
  </si>
  <si>
    <t>B3-13</t>
  </si>
  <si>
    <t>B3-14</t>
  </si>
  <si>
    <t>B3-15</t>
  </si>
  <si>
    <t>B3-16</t>
  </si>
  <si>
    <t>B3-17</t>
  </si>
  <si>
    <t>B3-18</t>
  </si>
  <si>
    <t>B3-19</t>
  </si>
  <si>
    <t>B3-20</t>
  </si>
  <si>
    <t>B4-1</t>
  </si>
  <si>
    <t>B4-2</t>
  </si>
  <si>
    <t>B4-3</t>
  </si>
  <si>
    <t>B4-4</t>
  </si>
  <si>
    <t>B4-5</t>
  </si>
  <si>
    <t>B4-6</t>
  </si>
  <si>
    <t>B4-7</t>
  </si>
  <si>
    <t>B4-8</t>
  </si>
  <si>
    <t>B4-9</t>
  </si>
  <si>
    <t>B4-10</t>
  </si>
  <si>
    <t>B4-11</t>
  </si>
  <si>
    <t>B4-12</t>
  </si>
  <si>
    <t>B4-13</t>
  </si>
  <si>
    <t>B4-14</t>
  </si>
  <si>
    <t>B4-15</t>
  </si>
  <si>
    <t>B4-16</t>
  </si>
  <si>
    <t>B4-17</t>
  </si>
  <si>
    <t>B4-18</t>
  </si>
  <si>
    <t>B4-19</t>
  </si>
  <si>
    <t>B4-20</t>
  </si>
  <si>
    <t>B5-1</t>
  </si>
  <si>
    <t>B5-2</t>
  </si>
  <si>
    <t>B5-3</t>
  </si>
  <si>
    <t>B5-4</t>
  </si>
  <si>
    <t>B5-5</t>
  </si>
  <si>
    <t>B5-6</t>
  </si>
  <si>
    <t>B5-7</t>
  </si>
  <si>
    <t>B5-8</t>
  </si>
  <si>
    <t>B5-9</t>
  </si>
  <si>
    <t>B5-10</t>
  </si>
  <si>
    <t>B5-11</t>
  </si>
  <si>
    <t>B5-12</t>
  </si>
  <si>
    <t>B5-13</t>
  </si>
  <si>
    <t>B5-14</t>
  </si>
  <si>
    <t>B5-15</t>
  </si>
  <si>
    <t>B5-16</t>
  </si>
  <si>
    <t>B5-17</t>
  </si>
  <si>
    <t>B5-18</t>
  </si>
  <si>
    <t>B5-19</t>
  </si>
  <si>
    <t>B5-20</t>
  </si>
  <si>
    <t>B6-1</t>
  </si>
  <si>
    <t>B6-2</t>
  </si>
  <si>
    <t>B6-3</t>
  </si>
  <si>
    <t>B6-4</t>
  </si>
  <si>
    <t>B6-5</t>
  </si>
  <si>
    <t>B6-6</t>
  </si>
  <si>
    <t>B6-7</t>
  </si>
  <si>
    <t>B6-8</t>
  </si>
  <si>
    <t>B6-9</t>
  </si>
  <si>
    <t>B6-10</t>
  </si>
  <si>
    <t>B6-11</t>
  </si>
  <si>
    <t>B6-12</t>
  </si>
  <si>
    <t>B6-13</t>
  </si>
  <si>
    <t>B6-14</t>
  </si>
  <si>
    <t>B6-15</t>
  </si>
  <si>
    <t>B6-16</t>
  </si>
  <si>
    <t>B6-17</t>
  </si>
  <si>
    <t>B6-18</t>
  </si>
  <si>
    <t>B6-19</t>
  </si>
  <si>
    <t>B6-20</t>
  </si>
  <si>
    <t>B7-1</t>
  </si>
  <si>
    <t>B7-2</t>
  </si>
  <si>
    <t>B7-3</t>
  </si>
  <si>
    <t>B7-4</t>
  </si>
  <si>
    <t>B7-5</t>
  </si>
  <si>
    <t>B7-6</t>
  </si>
  <si>
    <t>B7-7</t>
  </si>
  <si>
    <t>B7-8</t>
  </si>
  <si>
    <t>B7-9</t>
  </si>
  <si>
    <t>B7-10</t>
  </si>
  <si>
    <t>B7-11</t>
  </si>
  <si>
    <t>B7-12</t>
  </si>
  <si>
    <t>B7-13</t>
  </si>
  <si>
    <t>B7-14</t>
  </si>
  <si>
    <t>B7-15</t>
  </si>
  <si>
    <t>B7-16</t>
  </si>
  <si>
    <t>B7-17</t>
  </si>
  <si>
    <t>B7-18</t>
  </si>
  <si>
    <t>B7-19</t>
  </si>
  <si>
    <t>B7-20</t>
  </si>
  <si>
    <t>B8-1</t>
  </si>
  <si>
    <t>B8-2</t>
  </si>
  <si>
    <t>B8-3</t>
  </si>
  <si>
    <t>B8-4</t>
  </si>
  <si>
    <t>B8-5</t>
  </si>
  <si>
    <t>B8-6</t>
  </si>
  <si>
    <t>B8-7</t>
  </si>
  <si>
    <t>B8-8</t>
  </si>
  <si>
    <t>B8-9</t>
  </si>
  <si>
    <t>B8-10</t>
  </si>
  <si>
    <t>B8-11</t>
  </si>
  <si>
    <t>B8-12</t>
  </si>
  <si>
    <t>B8-13</t>
  </si>
  <si>
    <t>B8-14</t>
  </si>
  <si>
    <t>B8-15</t>
  </si>
  <si>
    <t>B8-16</t>
  </si>
  <si>
    <t>B8-17</t>
  </si>
  <si>
    <t>B8-18</t>
  </si>
  <si>
    <t>B8-19</t>
  </si>
  <si>
    <t>B8-20</t>
  </si>
  <si>
    <t>B9-1</t>
  </si>
  <si>
    <t>B9-2</t>
  </si>
  <si>
    <t>B9-3</t>
  </si>
  <si>
    <t>B9-4</t>
  </si>
  <si>
    <t>B9-5</t>
  </si>
  <si>
    <t>B9-6</t>
  </si>
  <si>
    <t>B9-7</t>
  </si>
  <si>
    <t>B9-8</t>
  </si>
  <si>
    <t>B9-9</t>
  </si>
  <si>
    <t>B9-10</t>
  </si>
  <si>
    <t>B9-11</t>
  </si>
  <si>
    <t>B9-12</t>
  </si>
  <si>
    <t>B9-13</t>
  </si>
  <si>
    <t>B9-14</t>
  </si>
  <si>
    <t>B9-15</t>
  </si>
  <si>
    <t>B9-16</t>
  </si>
  <si>
    <t>B9-17</t>
  </si>
  <si>
    <t>B9-18</t>
  </si>
  <si>
    <t>B9-19</t>
  </si>
  <si>
    <t>B9-20</t>
  </si>
  <si>
    <t>B10-1</t>
  </si>
  <si>
    <t>B10-2</t>
  </si>
  <si>
    <t>B10-3</t>
  </si>
  <si>
    <t>B10-4</t>
  </si>
  <si>
    <t>B10-5</t>
  </si>
  <si>
    <t>B10-6</t>
  </si>
  <si>
    <t>B10-7</t>
  </si>
  <si>
    <t>B10-8</t>
  </si>
  <si>
    <t>B10-9</t>
  </si>
  <si>
    <t>B10-10</t>
  </si>
  <si>
    <t>B10-11</t>
  </si>
  <si>
    <t>B10-12</t>
  </si>
  <si>
    <t>B10-13</t>
  </si>
  <si>
    <t>B10-14</t>
  </si>
  <si>
    <t>B10-15</t>
  </si>
  <si>
    <t>B10-16</t>
  </si>
  <si>
    <t>B10-17</t>
  </si>
  <si>
    <t>B10-18</t>
  </si>
  <si>
    <t>B10-19</t>
  </si>
  <si>
    <t>B10-20</t>
  </si>
  <si>
    <t>B11-1</t>
  </si>
  <si>
    <t>B11-2</t>
  </si>
  <si>
    <t>B11-3</t>
  </si>
  <si>
    <t>B11-4</t>
  </si>
  <si>
    <t>B11-5</t>
  </si>
  <si>
    <t>B11-6</t>
  </si>
  <si>
    <t>B11-7</t>
  </si>
  <si>
    <t>B11-8</t>
  </si>
  <si>
    <t>B11-9</t>
  </si>
  <si>
    <t>B11-10</t>
  </si>
  <si>
    <t>B11-11</t>
  </si>
  <si>
    <t>B11-12</t>
  </si>
  <si>
    <t>B11-13</t>
  </si>
  <si>
    <t>B11-14</t>
  </si>
  <si>
    <t>B11-15</t>
  </si>
  <si>
    <t>B11-16</t>
  </si>
  <si>
    <t>B11-17</t>
  </si>
  <si>
    <t>B11-18</t>
  </si>
  <si>
    <t>B11-19</t>
  </si>
  <si>
    <t>B11-20</t>
  </si>
  <si>
    <t>B12-1</t>
  </si>
  <si>
    <t>B12-2</t>
  </si>
  <si>
    <t>B12-3</t>
  </si>
  <si>
    <t>B12-4</t>
  </si>
  <si>
    <t>B12-5</t>
  </si>
  <si>
    <t>B12-6</t>
  </si>
  <si>
    <t>B12-7</t>
  </si>
  <si>
    <t>B12-8</t>
  </si>
  <si>
    <t>B12-9</t>
  </si>
  <si>
    <t>B12-10</t>
  </si>
  <si>
    <t>B12-11</t>
  </si>
  <si>
    <t>B12-12</t>
  </si>
  <si>
    <t>B12-13</t>
  </si>
  <si>
    <t>B12-14</t>
  </si>
  <si>
    <t>B12-15</t>
  </si>
  <si>
    <t>B12-16</t>
  </si>
  <si>
    <t>B12-17</t>
  </si>
  <si>
    <t>B12-18</t>
  </si>
  <si>
    <t>B12-19</t>
  </si>
  <si>
    <t>B12-20</t>
  </si>
  <si>
    <t>B13-1</t>
  </si>
  <si>
    <t>B13-2</t>
  </si>
  <si>
    <t>B13-3</t>
  </si>
  <si>
    <t>B13-4</t>
  </si>
  <si>
    <t>B13-5</t>
  </si>
  <si>
    <t>B13-6</t>
  </si>
  <si>
    <t>B13-7</t>
  </si>
  <si>
    <t>B13-8</t>
  </si>
  <si>
    <t>B13-9</t>
  </si>
  <si>
    <t>B13-10</t>
  </si>
  <si>
    <t>B13-11</t>
  </si>
  <si>
    <t>B13-12</t>
  </si>
  <si>
    <t>B13-13</t>
  </si>
  <si>
    <t>B13-14</t>
  </si>
  <si>
    <t>B13-15</t>
  </si>
  <si>
    <t>B13-16</t>
  </si>
  <si>
    <t>B13-17</t>
  </si>
  <si>
    <t>B13-18</t>
  </si>
  <si>
    <t>B13-19</t>
  </si>
  <si>
    <t>B13-20</t>
  </si>
  <si>
    <t>B14-1</t>
  </si>
  <si>
    <t>B14-2</t>
  </si>
  <si>
    <t>B14-3</t>
  </si>
  <si>
    <t>B14-4</t>
  </si>
  <si>
    <t>B14-5</t>
  </si>
  <si>
    <t>B14-6</t>
  </si>
  <si>
    <t>B14-7</t>
  </si>
  <si>
    <t>B14-8</t>
  </si>
  <si>
    <t>B14-9</t>
  </si>
  <si>
    <t>B14-10</t>
  </si>
  <si>
    <t>B14-11</t>
  </si>
  <si>
    <t>B14-12</t>
  </si>
  <si>
    <t>B14-13</t>
  </si>
  <si>
    <t>B14-14</t>
  </si>
  <si>
    <t>B14-15</t>
  </si>
  <si>
    <t>B14-16</t>
  </si>
  <si>
    <t>B14-17</t>
  </si>
  <si>
    <t>B14-18</t>
  </si>
  <si>
    <t>B14-19</t>
  </si>
  <si>
    <t>B14-20</t>
  </si>
  <si>
    <t>B15-1</t>
  </si>
  <si>
    <t>B15-2</t>
  </si>
  <si>
    <t>B15-3</t>
  </si>
  <si>
    <t>B15-4</t>
  </si>
  <si>
    <t>B15-5</t>
  </si>
  <si>
    <t>B15-6</t>
  </si>
  <si>
    <t>B15-7</t>
  </si>
  <si>
    <t>B15-8</t>
  </si>
  <si>
    <t>B15-9</t>
  </si>
  <si>
    <t>B15-10</t>
  </si>
  <si>
    <t>B15-11</t>
  </si>
  <si>
    <t>B15-12</t>
  </si>
  <si>
    <t>B15-13</t>
  </si>
  <si>
    <t>B15-14</t>
  </si>
  <si>
    <t>B15-15</t>
  </si>
  <si>
    <t>B15-16</t>
  </si>
  <si>
    <t>B15-17</t>
  </si>
  <si>
    <t>B15-18</t>
  </si>
  <si>
    <t>B15-19</t>
  </si>
  <si>
    <t>B15-20</t>
  </si>
  <si>
    <t>B16-1</t>
  </si>
  <si>
    <t>B16-2</t>
  </si>
  <si>
    <t>B16-3</t>
  </si>
  <si>
    <t>B16-4</t>
  </si>
  <si>
    <t>B16-5</t>
  </si>
  <si>
    <t>B16-6</t>
  </si>
  <si>
    <t>B16-7</t>
  </si>
  <si>
    <t>B16-8</t>
  </si>
  <si>
    <t>B16-9</t>
  </si>
  <si>
    <t>B16-10</t>
  </si>
  <si>
    <t>B16-11</t>
  </si>
  <si>
    <t>B16-12</t>
  </si>
  <si>
    <t>B16-13</t>
  </si>
  <si>
    <t>B16-14</t>
  </si>
  <si>
    <t>B16-15</t>
  </si>
  <si>
    <t>B16-16</t>
  </si>
  <si>
    <t>B16-17</t>
  </si>
  <si>
    <t>B16-18</t>
  </si>
  <si>
    <t>B16-19</t>
  </si>
  <si>
    <t>B16-20</t>
  </si>
  <si>
    <t>B17-1</t>
  </si>
  <si>
    <t>B17-2</t>
  </si>
  <si>
    <t>B17-3</t>
  </si>
  <si>
    <t>B17-4</t>
  </si>
  <si>
    <t>B17-5</t>
  </si>
  <si>
    <t>B17-6</t>
  </si>
  <si>
    <t>B17-7</t>
  </si>
  <si>
    <t>B17-8</t>
  </si>
  <si>
    <t>B17-9</t>
  </si>
  <si>
    <t>B17-10</t>
  </si>
  <si>
    <t>B17-11</t>
  </si>
  <si>
    <t>B17-12</t>
  </si>
  <si>
    <t>B17-13</t>
  </si>
  <si>
    <t>B17-14</t>
  </si>
  <si>
    <t>B17-15</t>
  </si>
  <si>
    <t>B17-16</t>
  </si>
  <si>
    <t>B17-17</t>
  </si>
  <si>
    <t>B17-18</t>
  </si>
  <si>
    <t>B17-19</t>
  </si>
  <si>
    <t>B17-20</t>
  </si>
  <si>
    <t>B18-1</t>
  </si>
  <si>
    <t>B18-2</t>
  </si>
  <si>
    <t>B18-3</t>
  </si>
  <si>
    <t>B18-4</t>
  </si>
  <si>
    <t>B18-5</t>
  </si>
  <si>
    <t>B18-6</t>
  </si>
  <si>
    <t>B18-7</t>
  </si>
  <si>
    <t>B18-8</t>
  </si>
  <si>
    <t>B18-9</t>
  </si>
  <si>
    <t>B18-10</t>
  </si>
  <si>
    <t>B18-11</t>
  </si>
  <si>
    <t>B18-12</t>
  </si>
  <si>
    <t>B18-13</t>
  </si>
  <si>
    <t>B18-14</t>
  </si>
  <si>
    <t>B18-15</t>
  </si>
  <si>
    <t>B18-16</t>
  </si>
  <si>
    <t>B18-17</t>
  </si>
  <si>
    <t>B18-18</t>
  </si>
  <si>
    <t>B18-19</t>
  </si>
  <si>
    <t>B18-20</t>
  </si>
  <si>
    <t>B19-1</t>
  </si>
  <si>
    <t>B19-2</t>
  </si>
  <si>
    <t>B19-3</t>
  </si>
  <si>
    <t>B19-4</t>
  </si>
  <si>
    <t>B19-5</t>
  </si>
  <si>
    <t>B19-6</t>
  </si>
  <si>
    <t>B19-7</t>
  </si>
  <si>
    <t>B19-8</t>
  </si>
  <si>
    <t>B19-9</t>
  </si>
  <si>
    <t>B19-10</t>
  </si>
  <si>
    <t>B19-11</t>
  </si>
  <si>
    <t>B19-12</t>
  </si>
  <si>
    <t>B19-13</t>
  </si>
  <si>
    <t>B19-14</t>
  </si>
  <si>
    <t>B19-15</t>
  </si>
  <si>
    <t>B19-16</t>
  </si>
  <si>
    <t>B19-17</t>
  </si>
  <si>
    <t>B19-18</t>
  </si>
  <si>
    <t>B19-19</t>
  </si>
  <si>
    <t>B19-20</t>
  </si>
  <si>
    <t>B20-1</t>
  </si>
  <si>
    <t>B20-2</t>
  </si>
  <si>
    <t>B20-3</t>
  </si>
  <si>
    <t>B20-4</t>
  </si>
  <si>
    <t>B20-5</t>
  </si>
  <si>
    <t>B20-6</t>
  </si>
  <si>
    <t>B20-7</t>
  </si>
  <si>
    <t>B20-8</t>
  </si>
  <si>
    <t>B20-9</t>
  </si>
  <si>
    <t>B20-10</t>
  </si>
  <si>
    <t>B20-11</t>
  </si>
  <si>
    <t>B20-12</t>
  </si>
  <si>
    <t>B20-13</t>
  </si>
  <si>
    <t>B20-14</t>
  </si>
  <si>
    <t>B20-15</t>
  </si>
  <si>
    <t>B20-16</t>
  </si>
  <si>
    <t>B20-17</t>
  </si>
  <si>
    <t>B20-18</t>
  </si>
  <si>
    <t>B20-19</t>
  </si>
  <si>
    <t>B20-20</t>
  </si>
  <si>
    <t>&lt;NAAM POKEMON 1&gt;</t>
  </si>
  <si>
    <t>&lt;NAAM POKEMON 2&gt;</t>
  </si>
  <si>
    <t>Battle</t>
  </si>
  <si>
    <t>&lt;NAAM POKEMON 3&gt;</t>
  </si>
  <si>
    <t>Door</t>
  </si>
  <si>
    <t>Row Home</t>
  </si>
  <si>
    <t>Col Home</t>
  </si>
  <si>
    <t xml:space="preserve">hallo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</si>
</sst>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10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darkGray"/>
    </fill>
    <fill>
      <patternFill patternType="lightHorizontal"/>
    </fill>
    <fill>
      <patternFill patternType="lightUp"/>
    </fill>
    <fill>
      <patternFill patternType="lightGrid"/>
    </fill>
    <fill>
      <patternFill patternType="lightTrellis"/>
    </fill>
    <fill>
      <patternFill patternType="lightGray"/>
    </fill>
    <fill>
      <patternFill patternType="mediumGray"/>
    </fill>
    <fill>
      <patternFill patternType="solid">
        <fgColor indexed="65"/>
        <bgColor indexed="64"/>
      </patternFill>
    </fill>
    <fill>
      <patternFill patternType="gray0625"/>
    </fill>
    <fill>
      <patternFill patternType="darkHorizontal"/>
    </fill>
    <fill>
      <patternFill patternType="darkVertical"/>
    </fill>
    <fill>
      <patternFill patternType="darkDown"/>
    </fill>
    <fill>
      <patternFill patternType="darkUp"/>
    </fill>
    <fill>
      <patternFill patternType="darkGrid"/>
    </fill>
    <fill>
      <patternFill patternType="darkTrellis"/>
    </fill>
    <fill>
      <patternFill patternType="lightVertical"/>
    </fill>
    <fill>
      <patternFill patternType="lightDown"/>
    </fill>
    <fill>
      <patternFill patternType="lightVertical">
        <bgColor indexed="11"/>
      </patternFill>
    </fill>
    <fill>
      <patternFill patternType="lightHorizontal">
        <bgColor indexed="10"/>
      </patternFill>
    </fill>
    <fill>
      <patternFill patternType="gray125">
        <bgColor indexed="18"/>
      </patternFill>
    </fill>
    <fill>
      <patternFill patternType="lightDown">
        <bgColor indexed="13"/>
      </patternFill>
    </fill>
    <fill>
      <patternFill patternType="lightUp">
        <bgColor indexed="13"/>
      </patternFill>
    </fill>
    <fill>
      <patternFill patternType="solid">
        <fgColor rgb="FFFFC000"/>
        <bgColor indexed="64"/>
      </patternFill>
    </fill>
    <fill>
      <patternFill patternType="gray0625">
        <bgColor indexed="12"/>
      </patternFill>
    </fill>
    <fill>
      <patternFill patternType="gray0625">
        <bgColor indexed="11"/>
      </patternFill>
    </fill>
    <fill>
      <patternFill patternType="gray0625">
        <bgColor indexed="17"/>
      </patternFill>
    </fill>
    <fill>
      <patternFill patternType="mediumGray">
        <bgColor theme="1"/>
      </patternFill>
    </fill>
    <fill>
      <patternFill patternType="solid">
        <fgColor theme="0"/>
        <bgColor indexed="64"/>
      </patternFill>
    </fill>
    <fill>
      <patternFill patternType="darkTrellis">
        <fgColor theme="0"/>
        <bgColor indexed="8"/>
      </patternFill>
    </fill>
    <fill>
      <patternFill patternType="darkTrellis">
        <fgColor theme="1"/>
        <bgColor indexed="9"/>
      </patternFill>
    </fill>
    <fill>
      <patternFill patternType="darkTrellis">
        <fgColor theme="2"/>
        <bgColor indexed="10"/>
      </patternFill>
    </fill>
    <fill>
      <patternFill patternType="darkTrellis">
        <fgColor theme="3"/>
        <bgColor indexed="11"/>
      </patternFill>
    </fill>
    <fill>
      <patternFill patternType="darkTrellis">
        <fgColor theme="4"/>
        <bgColor indexed="12"/>
      </patternFill>
    </fill>
    <fill>
      <patternFill patternType="darkTrellis">
        <fgColor theme="5"/>
        <bgColor indexed="13"/>
      </patternFill>
    </fill>
    <fill>
      <patternFill patternType="darkTrellis">
        <fgColor theme="6"/>
        <bgColor indexed="14"/>
      </patternFill>
    </fill>
    <fill>
      <patternFill patternType="darkTrellis">
        <fgColor theme="7"/>
        <bgColor indexed="15"/>
      </patternFill>
    </fill>
    <fill>
      <patternFill patternType="darkTrellis">
        <fgColor theme="8"/>
        <bgColor indexed="16"/>
      </patternFill>
    </fill>
    <fill>
      <patternFill patternType="darkTrellis">
        <fgColor theme="9"/>
        <bgColor indexed="17"/>
      </patternFill>
    </fill>
    <fill>
      <patternFill patternType="darkTrellis">
        <fgColor theme="10"/>
        <bgColor indexed="18"/>
      </patternFill>
    </fill>
    <fill>
      <patternFill patternType="darkTrellis">
        <fgColor theme="11"/>
        <bgColor indexed="19"/>
      </patternFill>
    </fill>
    <fill>
      <patternFill patternType="gray0625">
        <bgColor indexed="52"/>
      </patternFill>
    </fill>
    <fill>
      <patternFill patternType="solid">
        <fgColor rgb="FF3701FF"/>
        <bgColor indexed="64"/>
      </patternFill>
    </fill>
    <fill>
      <patternFill patternType="mediumGray">
        <bgColor theme="2" tint="-0.499984740745262"/>
      </patternFill>
    </fill>
    <fill>
      <patternFill patternType="mediumGray">
        <fgColor auto="1"/>
        <bgColor indexed="17"/>
      </patternFill>
    </fill>
    <fill>
      <patternFill patternType="gray125">
        <fgColor theme="3"/>
        <bgColor indexed="12"/>
      </patternFill>
    </fill>
    <fill>
      <patternFill patternType="mediumGray">
        <fgColor auto="1"/>
        <bgColor indexed="12"/>
      </patternFill>
    </fill>
    <fill>
      <patternFill patternType="gray0625">
        <fgColor auto="1"/>
        <bgColor indexed="17"/>
      </patternFill>
    </fill>
    <fill>
      <patternFill patternType="gray0625">
        <fgColor auto="1"/>
        <bgColor indexed="11"/>
      </patternFill>
    </fill>
    <fill>
      <patternFill patternType="gray0625">
        <bgColor indexed="18"/>
      </patternFill>
    </fill>
    <fill>
      <patternFill patternType="lightTrellis">
        <bgColor rgb="FF00B050"/>
      </patternFill>
    </fill>
    <fill>
      <patternFill patternType="darkDown">
        <bgColor rgb="FF00B050"/>
      </patternFill>
    </fill>
    <fill>
      <patternFill patternType="darkUp">
        <bgColor rgb="FF00B050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medium">
        <color indexed="64"/>
      </top>
      <bottom/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0" fontId="3" fillId="0" borderId="0"/>
    <xf numFmtId="0" fontId="1" fillId="0" borderId="0"/>
  </cellStyleXfs>
  <cellXfs count="259">
    <xf numFmtId="0" fontId="0" fillId="0" borderId="0" xfId="0"/>
    <xf numFmtId="0" fontId="3" fillId="2" borderId="0" xfId="1" applyFill="1"/>
    <xf numFmtId="0" fontId="3" fillId="0" borderId="0" xfId="1" applyFont="1"/>
    <xf numFmtId="0" fontId="3" fillId="0" borderId="0" xfId="1"/>
    <xf numFmtId="0" fontId="3" fillId="3" borderId="0" xfId="1" applyFill="1"/>
    <xf numFmtId="0" fontId="3" fillId="4" borderId="0" xfId="1" applyFill="1"/>
    <xf numFmtId="0" fontId="3" fillId="5" borderId="0" xfId="1" applyFont="1" applyFill="1"/>
    <xf numFmtId="0" fontId="3" fillId="6" borderId="0" xfId="1" applyFill="1"/>
    <xf numFmtId="0" fontId="3" fillId="7" borderId="0" xfId="1" applyFill="1"/>
    <xf numFmtId="0" fontId="3" fillId="0" borderId="0" xfId="1" applyBorder="1"/>
    <xf numFmtId="0" fontId="3" fillId="8" borderId="0" xfId="1" applyFill="1"/>
    <xf numFmtId="0" fontId="3" fillId="9" borderId="0" xfId="1" applyFill="1"/>
    <xf numFmtId="0" fontId="3" fillId="10" borderId="0" xfId="1" applyFill="1"/>
    <xf numFmtId="0" fontId="3" fillId="11" borderId="0" xfId="1" applyFill="1"/>
    <xf numFmtId="0" fontId="3" fillId="0" borderId="1" xfId="1" applyBorder="1"/>
    <xf numFmtId="0" fontId="3" fillId="0" borderId="2" xfId="1" applyBorder="1"/>
    <xf numFmtId="0" fontId="2" fillId="0" borderId="3" xfId="1" applyFont="1" applyFill="1" applyBorder="1"/>
    <xf numFmtId="0" fontId="3" fillId="12" borderId="0" xfId="1" applyFill="1"/>
    <xf numFmtId="0" fontId="2" fillId="0" borderId="4" xfId="1" applyFont="1" applyFill="1" applyBorder="1"/>
    <xf numFmtId="0" fontId="2" fillId="0" borderId="5" xfId="1" applyFont="1" applyFill="1" applyBorder="1"/>
    <xf numFmtId="0" fontId="2" fillId="0" borderId="6" xfId="1" applyFont="1" applyFill="1" applyBorder="1"/>
    <xf numFmtId="0" fontId="2" fillId="0" borderId="7" xfId="1" applyFont="1" applyFill="1" applyBorder="1"/>
    <xf numFmtId="0" fontId="2" fillId="0" borderId="8" xfId="1" applyFont="1" applyFill="1" applyBorder="1"/>
    <xf numFmtId="0" fontId="2" fillId="0" borderId="9" xfId="1" applyFont="1" applyFill="1" applyBorder="1"/>
    <xf numFmtId="0" fontId="3" fillId="13" borderId="0" xfId="1" applyFill="1"/>
    <xf numFmtId="0" fontId="3" fillId="14" borderId="0" xfId="1" applyFill="1"/>
    <xf numFmtId="0" fontId="3" fillId="15" borderId="0" xfId="1" applyFill="1"/>
    <xf numFmtId="0" fontId="3" fillId="16" borderId="0" xfId="1" applyFill="1"/>
    <xf numFmtId="0" fontId="3" fillId="17" borderId="0" xfId="1" applyFill="1"/>
    <xf numFmtId="0" fontId="3" fillId="18" borderId="0" xfId="1" applyFill="1"/>
    <xf numFmtId="0" fontId="3" fillId="19" borderId="0" xfId="1" applyFill="1"/>
    <xf numFmtId="0" fontId="3" fillId="20" borderId="0" xfId="1" applyFill="1"/>
    <xf numFmtId="0" fontId="3" fillId="21" borderId="0" xfId="1" applyFill="1"/>
    <xf numFmtId="0" fontId="3" fillId="22" borderId="0" xfId="1" applyFill="1"/>
    <xf numFmtId="0" fontId="3" fillId="23" borderId="0" xfId="1" applyFill="1"/>
    <xf numFmtId="0" fontId="3" fillId="24" borderId="0" xfId="1" applyFill="1"/>
    <xf numFmtId="0" fontId="3" fillId="25" borderId="0" xfId="1" applyFill="1"/>
    <xf numFmtId="0" fontId="3" fillId="26" borderId="0" xfId="1" applyFill="1"/>
    <xf numFmtId="0" fontId="3" fillId="27" borderId="0" xfId="1" applyFill="1"/>
    <xf numFmtId="0" fontId="3" fillId="28" borderId="0" xfId="1" applyFill="1"/>
    <xf numFmtId="0" fontId="3" fillId="29" borderId="0" xfId="1" applyFill="1"/>
    <xf numFmtId="0" fontId="3" fillId="30" borderId="0" xfId="1" applyFill="1"/>
    <xf numFmtId="0" fontId="3" fillId="31" borderId="0" xfId="1" applyFill="1"/>
    <xf numFmtId="0" fontId="3" fillId="32" borderId="0" xfId="1" applyFill="1"/>
    <xf numFmtId="0" fontId="3" fillId="33" borderId="0" xfId="1" applyFill="1"/>
    <xf numFmtId="0" fontId="3" fillId="34" borderId="0" xfId="1" applyFill="1"/>
    <xf numFmtId="0" fontId="3" fillId="35" borderId="0" xfId="1" applyFill="1"/>
    <xf numFmtId="0" fontId="3" fillId="36" borderId="0" xfId="1" applyFill="1"/>
    <xf numFmtId="0" fontId="3" fillId="37" borderId="0" xfId="1" applyFill="1"/>
    <xf numFmtId="0" fontId="3" fillId="38" borderId="0" xfId="1" applyFill="1"/>
    <xf numFmtId="0" fontId="3" fillId="39" borderId="0" xfId="1" applyFill="1"/>
    <xf numFmtId="0" fontId="3" fillId="40" borderId="0" xfId="1" applyFill="1"/>
    <xf numFmtId="0" fontId="3" fillId="41" borderId="0" xfId="1" applyFill="1"/>
    <xf numFmtId="0" fontId="3" fillId="42" borderId="0" xfId="1" applyFill="1"/>
    <xf numFmtId="0" fontId="3" fillId="43" borderId="0" xfId="1" applyFill="1"/>
    <xf numFmtId="0" fontId="3" fillId="44" borderId="0" xfId="1" applyFill="1"/>
    <xf numFmtId="0" fontId="3" fillId="45" borderId="0" xfId="1" applyFill="1"/>
    <xf numFmtId="0" fontId="3" fillId="46" borderId="0" xfId="1" applyFill="1"/>
    <xf numFmtId="0" fontId="3" fillId="47" borderId="0" xfId="1" applyFill="1"/>
    <xf numFmtId="0" fontId="3" fillId="48" borderId="0" xfId="1" applyFill="1"/>
    <xf numFmtId="0" fontId="3" fillId="49" borderId="0" xfId="1" applyFill="1"/>
    <xf numFmtId="0" fontId="3" fillId="50" borderId="0" xfId="1" applyFill="1"/>
    <xf numFmtId="0" fontId="3" fillId="51" borderId="0" xfId="1" applyFill="1"/>
    <xf numFmtId="0" fontId="3" fillId="52" borderId="0" xfId="1" applyFill="1"/>
    <xf numFmtId="0" fontId="3" fillId="53" borderId="0" xfId="1" applyFill="1"/>
    <xf numFmtId="0" fontId="3" fillId="54" borderId="0" xfId="1" applyFill="1"/>
    <xf numFmtId="0" fontId="3" fillId="55" borderId="0" xfId="1" applyFill="1"/>
    <xf numFmtId="0" fontId="3" fillId="56" borderId="0" xfId="1" applyFill="1"/>
    <xf numFmtId="0" fontId="3" fillId="57" borderId="0" xfId="1" applyFill="1"/>
    <xf numFmtId="0" fontId="3" fillId="1" borderId="0" xfId="1" applyFill="1"/>
    <xf numFmtId="0" fontId="3" fillId="61" borderId="0" xfId="1" applyFill="1" applyBorder="1"/>
    <xf numFmtId="0" fontId="3" fillId="62" borderId="0" xfId="1" applyFill="1"/>
    <xf numFmtId="0" fontId="3" fillId="63" borderId="0" xfId="1" applyFill="1"/>
    <xf numFmtId="0" fontId="3" fillId="60" borderId="0" xfId="1" applyFill="1" applyBorder="1"/>
    <xf numFmtId="0" fontId="3" fillId="64" borderId="0" xfId="1" applyFill="1"/>
    <xf numFmtId="0" fontId="3" fillId="65" borderId="0" xfId="1" applyFill="1" applyBorder="1"/>
    <xf numFmtId="0" fontId="3" fillId="66" borderId="0" xfId="1" applyFill="1" applyBorder="1"/>
    <xf numFmtId="0" fontId="3" fillId="67" borderId="0" xfId="1" applyFill="1" applyBorder="1"/>
    <xf numFmtId="0" fontId="3" fillId="68" borderId="0" xfId="1" applyFill="1" applyBorder="1"/>
    <xf numFmtId="0" fontId="3" fillId="69" borderId="0" xfId="1" applyFill="1" applyBorder="1"/>
    <xf numFmtId="0" fontId="3" fillId="70" borderId="0" xfId="1" applyFill="1" applyBorder="1"/>
    <xf numFmtId="0" fontId="3" fillId="71" borderId="0" xfId="1" applyFill="1" applyBorder="1"/>
    <xf numFmtId="0" fontId="3" fillId="58" borderId="0" xfId="1" applyFill="1" applyBorder="1"/>
    <xf numFmtId="0" fontId="3" fillId="72" borderId="0" xfId="1" applyFill="1" applyBorder="1"/>
    <xf numFmtId="0" fontId="3" fillId="73" borderId="0" xfId="1" applyFill="1" applyBorder="1"/>
    <xf numFmtId="0" fontId="3" fillId="59" borderId="0" xfId="1" applyFill="1" applyBorder="1"/>
    <xf numFmtId="0" fontId="3" fillId="74" borderId="0" xfId="1" applyFill="1" applyBorder="1"/>
    <xf numFmtId="0" fontId="3" fillId="75" borderId="0" xfId="1" applyFill="1" applyBorder="1"/>
    <xf numFmtId="0" fontId="3" fillId="77" borderId="0" xfId="1" applyFill="1" applyBorder="1"/>
    <xf numFmtId="0" fontId="3" fillId="78" borderId="0" xfId="1" applyFill="1" applyBorder="1"/>
    <xf numFmtId="0" fontId="3" fillId="79" borderId="0" xfId="1" applyFill="1" applyBorder="1"/>
    <xf numFmtId="0" fontId="3" fillId="79" borderId="0" xfId="1" applyFill="1"/>
    <xf numFmtId="0" fontId="3" fillId="80" borderId="0" xfId="1" applyFill="1"/>
    <xf numFmtId="0" fontId="3" fillId="81" borderId="0" xfId="1" applyFill="1"/>
    <xf numFmtId="0" fontId="3" fillId="82" borderId="0" xfId="1" applyFill="1"/>
    <xf numFmtId="0" fontId="3" fillId="0" borderId="0" xfId="1" applyFill="1"/>
    <xf numFmtId="0" fontId="0" fillId="84" borderId="0" xfId="0" applyFill="1" applyBorder="1"/>
    <xf numFmtId="0" fontId="3" fillId="85" borderId="0" xfId="1" applyFill="1" applyBorder="1"/>
    <xf numFmtId="0" fontId="3" fillId="86" borderId="0" xfId="1" applyFill="1" applyBorder="1"/>
    <xf numFmtId="0" fontId="3" fillId="87" borderId="0" xfId="1" applyFill="1" applyBorder="1"/>
    <xf numFmtId="0" fontId="3" fillId="88" borderId="0" xfId="1" applyFill="1" applyBorder="1"/>
    <xf numFmtId="0" fontId="3" fillId="89" borderId="0" xfId="1" applyFill="1" applyBorder="1"/>
    <xf numFmtId="0" fontId="3" fillId="90" borderId="0" xfId="1" applyFill="1" applyBorder="1"/>
    <xf numFmtId="0" fontId="3" fillId="91" borderId="0" xfId="1" applyFill="1" applyBorder="1"/>
    <xf numFmtId="0" fontId="3" fillId="92" borderId="0" xfId="1" applyFill="1" applyBorder="1"/>
    <xf numFmtId="0" fontId="3" fillId="93" borderId="0" xfId="1" applyFill="1" applyBorder="1"/>
    <xf numFmtId="0" fontId="3" fillId="94" borderId="0" xfId="1" applyFill="1" applyBorder="1"/>
    <xf numFmtId="0" fontId="3" fillId="95" borderId="0" xfId="1" applyFill="1" applyBorder="1"/>
    <xf numFmtId="0" fontId="3" fillId="96" borderId="0" xfId="1" applyFill="1" applyBorder="1"/>
    <xf numFmtId="0" fontId="0" fillId="0" borderId="0" xfId="0" applyFill="1"/>
    <xf numFmtId="0" fontId="0" fillId="84" borderId="4" xfId="0" applyFill="1" applyBorder="1"/>
    <xf numFmtId="0" fontId="0" fillId="84" borderId="11" xfId="0" applyFill="1" applyBorder="1"/>
    <xf numFmtId="0" fontId="0" fillId="84" borderId="13" xfId="0" applyFill="1" applyBorder="1"/>
    <xf numFmtId="0" fontId="0" fillId="84" borderId="12" xfId="0" applyFill="1" applyBorder="1"/>
    <xf numFmtId="0" fontId="0" fillId="84" borderId="14" xfId="0" applyFill="1" applyBorder="1"/>
    <xf numFmtId="0" fontId="0" fillId="84" borderId="1" xfId="0" applyFill="1" applyBorder="1"/>
    <xf numFmtId="0" fontId="0" fillId="84" borderId="15" xfId="0" applyFill="1" applyBorder="1"/>
    <xf numFmtId="0" fontId="3" fillId="84" borderId="4" xfId="0" applyFont="1" applyFill="1" applyBorder="1"/>
    <xf numFmtId="0" fontId="3" fillId="83" borderId="0" xfId="1" applyFont="1" applyFill="1" applyBorder="1"/>
    <xf numFmtId="0" fontId="3" fillId="84" borderId="12" xfId="0" applyFont="1" applyFill="1" applyBorder="1"/>
    <xf numFmtId="0" fontId="3" fillId="84" borderId="0" xfId="0" applyFont="1" applyFill="1" applyBorder="1"/>
    <xf numFmtId="0" fontId="3" fillId="63" borderId="0" xfId="1" applyFont="1" applyFill="1" applyBorder="1"/>
    <xf numFmtId="0" fontId="3" fillId="76" borderId="0" xfId="1" applyFont="1" applyFill="1" applyBorder="1"/>
    <xf numFmtId="0" fontId="3" fillId="0" borderId="0" xfId="1" applyFont="1" applyBorder="1" applyAlignment="1">
      <alignment horizontal="center"/>
    </xf>
    <xf numFmtId="0" fontId="3" fillId="97" borderId="0" xfId="1" applyFill="1"/>
    <xf numFmtId="0" fontId="3" fillId="84" borderId="11" xfId="0" applyFont="1" applyFill="1" applyBorder="1"/>
    <xf numFmtId="0" fontId="3" fillId="84" borderId="13" xfId="0" applyFont="1" applyFill="1" applyBorder="1"/>
    <xf numFmtId="0" fontId="3" fillId="0" borderId="0" xfId="1" applyAlignment="1">
      <alignment horizontal="right"/>
    </xf>
    <xf numFmtId="0" fontId="3" fillId="0" borderId="0" xfId="1" applyBorder="1" applyAlignment="1">
      <alignment horizontal="right"/>
    </xf>
    <xf numFmtId="0" fontId="3" fillId="0" borderId="16" xfId="1" applyBorder="1"/>
    <xf numFmtId="0" fontId="3" fillId="98" borderId="16" xfId="1" applyFill="1" applyBorder="1"/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0" fontId="3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textRotation="45"/>
    </xf>
    <xf numFmtId="0" fontId="3" fillId="0" borderId="0" xfId="1" applyFill="1" applyBorder="1" applyAlignment="1">
      <alignment textRotation="45"/>
    </xf>
    <xf numFmtId="0" fontId="3" fillId="0" borderId="0" xfId="1" applyAlignment="1">
      <alignment textRotation="45"/>
    </xf>
    <xf numFmtId="0" fontId="3" fillId="66" borderId="0" xfId="1" applyFont="1" applyFill="1" applyBorder="1"/>
    <xf numFmtId="0" fontId="3" fillId="0" borderId="17" xfId="1" applyBorder="1"/>
    <xf numFmtId="0" fontId="3" fillId="0" borderId="18" xfId="1" applyBorder="1"/>
    <xf numFmtId="0" fontId="3" fillId="0" borderId="19" xfId="1" applyBorder="1"/>
    <xf numFmtId="0" fontId="3" fillId="0" borderId="20" xfId="1" applyBorder="1"/>
    <xf numFmtId="0" fontId="3" fillId="0" borderId="21" xfId="1" applyBorder="1"/>
    <xf numFmtId="0" fontId="3" fillId="0" borderId="22" xfId="1" applyBorder="1"/>
    <xf numFmtId="0" fontId="3" fillId="0" borderId="20" xfId="0" applyFont="1" applyFill="1" applyBorder="1"/>
    <xf numFmtId="0" fontId="3" fillId="0" borderId="21" xfId="0" applyFont="1" applyFill="1" applyBorder="1"/>
    <xf numFmtId="0" fontId="3" fillId="0" borderId="22" xfId="0" applyFont="1" applyFill="1" applyBorder="1"/>
    <xf numFmtId="0" fontId="3" fillId="84" borderId="23" xfId="0" applyFont="1" applyFill="1" applyBorder="1"/>
    <xf numFmtId="0" fontId="3" fillId="84" borderId="24" xfId="0" applyFont="1" applyFill="1" applyBorder="1"/>
    <xf numFmtId="0" fontId="3" fillId="84" borderId="25" xfId="0" applyFont="1" applyFill="1" applyBorder="1"/>
    <xf numFmtId="0" fontId="3" fillId="84" borderId="26" xfId="0" applyFont="1" applyFill="1" applyBorder="1"/>
    <xf numFmtId="0" fontId="3" fillId="84" borderId="27" xfId="0" applyFont="1" applyFill="1" applyBorder="1"/>
    <xf numFmtId="0" fontId="3" fillId="84" borderId="28" xfId="0" applyFont="1" applyFill="1" applyBorder="1"/>
    <xf numFmtId="0" fontId="3" fillId="84" borderId="29" xfId="0" applyFont="1" applyFill="1" applyBorder="1"/>
    <xf numFmtId="0" fontId="3" fillId="84" borderId="30" xfId="0" applyFont="1" applyFill="1" applyBorder="1"/>
    <xf numFmtId="0" fontId="3" fillId="84" borderId="31" xfId="0" applyFont="1" applyFill="1" applyBorder="1"/>
    <xf numFmtId="0" fontId="3" fillId="84" borderId="32" xfId="0" applyFont="1" applyFill="1" applyBorder="1"/>
    <xf numFmtId="0" fontId="3" fillId="84" borderId="33" xfId="0" applyFont="1" applyFill="1" applyBorder="1"/>
    <xf numFmtId="0" fontId="3" fillId="84" borderId="34" xfId="0" applyFont="1" applyFill="1" applyBorder="1"/>
    <xf numFmtId="0" fontId="3" fillId="84" borderId="26" xfId="0" applyFont="1" applyFill="1" applyBorder="1" applyAlignment="1"/>
    <xf numFmtId="0" fontId="3" fillId="84" borderId="0" xfId="0" applyFont="1" applyFill="1" applyBorder="1" applyAlignment="1"/>
    <xf numFmtId="0" fontId="3" fillId="84" borderId="28" xfId="0" applyFont="1" applyFill="1" applyBorder="1" applyAlignment="1"/>
    <xf numFmtId="0" fontId="3" fillId="84" borderId="29" xfId="0" applyFont="1" applyFill="1" applyBorder="1" applyAlignment="1"/>
    <xf numFmtId="0" fontId="2" fillId="84" borderId="17" xfId="0" applyFont="1" applyFill="1" applyBorder="1" applyAlignment="1"/>
    <xf numFmtId="0" fontId="2" fillId="84" borderId="18" xfId="0" applyFont="1" applyFill="1" applyBorder="1" applyAlignment="1"/>
    <xf numFmtId="0" fontId="2" fillId="84" borderId="19" xfId="0" applyFont="1" applyFill="1" applyBorder="1" applyAlignment="1"/>
    <xf numFmtId="0" fontId="3" fillId="84" borderId="13" xfId="0" applyFont="1" applyFill="1" applyBorder="1" applyAlignment="1"/>
    <xf numFmtId="0" fontId="3" fillId="84" borderId="35" xfId="0" applyFont="1" applyFill="1" applyBorder="1" applyAlignment="1"/>
    <xf numFmtId="0" fontId="2" fillId="84" borderId="26" xfId="0" applyFont="1" applyFill="1" applyBorder="1" applyAlignment="1"/>
    <xf numFmtId="0" fontId="3" fillId="3" borderId="0" xfId="1" applyFont="1" applyFill="1" applyBorder="1"/>
    <xf numFmtId="0" fontId="3" fillId="3" borderId="0" xfId="0" applyFont="1" applyFill="1" applyBorder="1"/>
    <xf numFmtId="0" fontId="2" fillId="84" borderId="0" xfId="0" applyFont="1" applyFill="1" applyBorder="1"/>
    <xf numFmtId="0" fontId="2" fillId="84" borderId="0" xfId="1" applyFont="1" applyFill="1" applyBorder="1"/>
    <xf numFmtId="0" fontId="7" fillId="84" borderId="0" xfId="0" applyFont="1" applyFill="1" applyBorder="1" applyAlignment="1">
      <alignment horizontal="center"/>
    </xf>
    <xf numFmtId="0" fontId="2" fillId="0" borderId="0" xfId="1" applyFont="1" applyFill="1" applyBorder="1"/>
    <xf numFmtId="0" fontId="3" fillId="0" borderId="0" xfId="1" applyAlignment="1"/>
    <xf numFmtId="0" fontId="2" fillId="84" borderId="0" xfId="0" applyFont="1" applyFill="1" applyBorder="1" applyAlignment="1"/>
    <xf numFmtId="0" fontId="3" fillId="0" borderId="0" xfId="1" applyFill="1" applyBorder="1" applyAlignment="1"/>
    <xf numFmtId="0" fontId="3" fillId="0" borderId="0" xfId="0" applyFont="1" applyFill="1" applyBorder="1" applyAlignment="1"/>
    <xf numFmtId="0" fontId="2" fillId="84" borderId="0" xfId="1" applyFont="1" applyFill="1" applyBorder="1" applyAlignment="1"/>
    <xf numFmtId="0" fontId="2" fillId="0" borderId="0" xfId="0" applyFont="1" applyFill="1" applyBorder="1" applyAlignment="1"/>
    <xf numFmtId="0" fontId="2" fillId="0" borderId="0" xfId="1" applyFont="1" applyFill="1" applyBorder="1" applyAlignment="1"/>
    <xf numFmtId="0" fontId="2" fillId="0" borderId="0" xfId="0" applyFont="1" applyFill="1" applyBorder="1"/>
    <xf numFmtId="0" fontId="3" fillId="83" borderId="23" xfId="1" applyFont="1" applyFill="1" applyBorder="1"/>
    <xf numFmtId="0" fontId="3" fillId="83" borderId="24" xfId="1" applyFont="1" applyFill="1" applyBorder="1"/>
    <xf numFmtId="0" fontId="3" fillId="83" borderId="25" xfId="1" applyFont="1" applyFill="1" applyBorder="1"/>
    <xf numFmtId="0" fontId="3" fillId="83" borderId="26" xfId="1" applyFont="1" applyFill="1" applyBorder="1"/>
    <xf numFmtId="0" fontId="3" fillId="83" borderId="27" xfId="1" applyFont="1" applyFill="1" applyBorder="1"/>
    <xf numFmtId="0" fontId="3" fillId="83" borderId="28" xfId="1" applyFont="1" applyFill="1" applyBorder="1"/>
    <xf numFmtId="0" fontId="3" fillId="83" borderId="29" xfId="1" applyFont="1" applyFill="1" applyBorder="1"/>
    <xf numFmtId="0" fontId="3" fillId="83" borderId="30" xfId="1" applyFont="1" applyFill="1" applyBorder="1"/>
    <xf numFmtId="0" fontId="2" fillId="84" borderId="23" xfId="0" applyFont="1" applyFill="1" applyBorder="1" applyAlignment="1"/>
    <xf numFmtId="0" fontId="2" fillId="84" borderId="24" xfId="0" applyFont="1" applyFill="1" applyBorder="1" applyAlignment="1"/>
    <xf numFmtId="0" fontId="2" fillId="84" borderId="24" xfId="0" applyFont="1" applyFill="1" applyBorder="1"/>
    <xf numFmtId="0" fontId="2" fillId="84" borderId="25" xfId="0" applyFont="1" applyFill="1" applyBorder="1"/>
    <xf numFmtId="0" fontId="2" fillId="84" borderId="27" xfId="0" applyFont="1" applyFill="1" applyBorder="1"/>
    <xf numFmtId="0" fontId="2" fillId="84" borderId="26" xfId="1" applyFont="1" applyFill="1" applyBorder="1" applyAlignment="1"/>
    <xf numFmtId="0" fontId="2" fillId="84" borderId="27" xfId="1" applyFont="1" applyFill="1" applyBorder="1"/>
    <xf numFmtId="0" fontId="2" fillId="84" borderId="28" xfId="1" applyFont="1" applyFill="1" applyBorder="1" applyAlignment="1"/>
    <xf numFmtId="0" fontId="2" fillId="84" borderId="29" xfId="1" applyFont="1" applyFill="1" applyBorder="1" applyAlignment="1"/>
    <xf numFmtId="0" fontId="3" fillId="5" borderId="29" xfId="1" applyFill="1" applyBorder="1" applyAlignment="1"/>
    <xf numFmtId="0" fontId="3" fillId="36" borderId="29" xfId="1" applyFill="1" applyBorder="1" applyAlignment="1"/>
    <xf numFmtId="0" fontId="2" fillId="84" borderId="29" xfId="1" applyFont="1" applyFill="1" applyBorder="1"/>
    <xf numFmtId="0" fontId="2" fillId="84" borderId="30" xfId="1" applyFont="1" applyFill="1" applyBorder="1"/>
    <xf numFmtId="0" fontId="3" fillId="99" borderId="0" xfId="1" applyFont="1" applyFill="1" applyBorder="1"/>
    <xf numFmtId="0" fontId="3" fillId="84" borderId="24" xfId="0" applyFont="1" applyFill="1" applyBorder="1" applyAlignment="1">
      <alignment horizontal="center"/>
    </xf>
    <xf numFmtId="0" fontId="3" fillId="84" borderId="29" xfId="0" applyFont="1" applyFill="1" applyBorder="1" applyAlignment="1">
      <alignment horizontal="center"/>
    </xf>
    <xf numFmtId="0" fontId="3" fillId="84" borderId="23" xfId="0" applyFont="1" applyFill="1" applyBorder="1" applyAlignment="1">
      <alignment horizontal="center"/>
    </xf>
    <xf numFmtId="0" fontId="3" fillId="84" borderId="36" xfId="0" applyFont="1" applyFill="1" applyBorder="1" applyAlignment="1">
      <alignment horizontal="center"/>
    </xf>
    <xf numFmtId="0" fontId="3" fillId="84" borderId="26" xfId="0" applyFont="1" applyFill="1" applyBorder="1" applyAlignment="1">
      <alignment horizontal="center"/>
    </xf>
    <xf numFmtId="0" fontId="3" fillId="84" borderId="0" xfId="0" applyFont="1" applyFill="1" applyBorder="1" applyAlignment="1">
      <alignment horizontal="center"/>
    </xf>
    <xf numFmtId="0" fontId="3" fillId="84" borderId="13" xfId="0" applyFon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Border="1" applyAlignment="1">
      <alignment horizontal="center"/>
    </xf>
    <xf numFmtId="0" fontId="3" fillId="100" borderId="4" xfId="1" applyFont="1" applyFill="1" applyBorder="1"/>
    <xf numFmtId="0" fontId="3" fillId="101" borderId="4" xfId="1" applyFont="1" applyFill="1" applyBorder="1"/>
    <xf numFmtId="0" fontId="3" fillId="6" borderId="4" xfId="1" applyFont="1" applyFill="1" applyBorder="1"/>
    <xf numFmtId="0" fontId="3" fillId="6" borderId="0" xfId="1" applyFont="1" applyFill="1" applyBorder="1"/>
    <xf numFmtId="0" fontId="3" fillId="100" borderId="0" xfId="1" applyFont="1" applyFill="1" applyBorder="1"/>
    <xf numFmtId="0" fontId="3" fillId="101" borderId="0" xfId="1" applyFont="1" applyFill="1" applyBorder="1"/>
    <xf numFmtId="0" fontId="3" fillId="70" borderId="0" xfId="1" applyFont="1" applyFill="1" applyBorder="1"/>
    <xf numFmtId="0" fontId="3" fillId="102" borderId="0" xfId="1" applyFont="1" applyFill="1" applyBorder="1"/>
    <xf numFmtId="0" fontId="3" fillId="103" borderId="0" xfId="1" applyFont="1" applyFill="1" applyBorder="1"/>
    <xf numFmtId="0" fontId="3" fillId="104" borderId="0" xfId="1" applyFont="1" applyFill="1" applyBorder="1"/>
    <xf numFmtId="0" fontId="3" fillId="65" borderId="0" xfId="1" applyFont="1" applyFill="1" applyBorder="1"/>
    <xf numFmtId="0" fontId="3" fillId="105" borderId="0" xfId="1" applyFont="1" applyFill="1" applyBorder="1"/>
    <xf numFmtId="0" fontId="3" fillId="97" borderId="13" xfId="1" applyFill="1" applyBorder="1"/>
    <xf numFmtId="0" fontId="3" fillId="106" borderId="23" xfId="1" applyFill="1" applyBorder="1"/>
    <xf numFmtId="0" fontId="3" fillId="106" borderId="20" xfId="1" applyFill="1" applyBorder="1"/>
    <xf numFmtId="0" fontId="3" fillId="106" borderId="25" xfId="1" applyFill="1" applyBorder="1"/>
    <xf numFmtId="0" fontId="3" fillId="107" borderId="0" xfId="1" applyFont="1" applyFill="1" applyBorder="1"/>
    <xf numFmtId="0" fontId="3" fillId="108" borderId="0" xfId="1" applyFont="1" applyFill="1" applyBorder="1"/>
    <xf numFmtId="0" fontId="3" fillId="107" borderId="29" xfId="1" applyFont="1" applyFill="1" applyBorder="1"/>
    <xf numFmtId="0" fontId="3" fillId="108" borderId="29" xfId="1" applyFont="1" applyFill="1" applyBorder="1"/>
    <xf numFmtId="0" fontId="3" fillId="108" borderId="30" xfId="1" applyFont="1" applyFill="1" applyBorder="1"/>
    <xf numFmtId="0" fontId="3" fillId="107" borderId="26" xfId="1" applyFont="1" applyFill="1" applyBorder="1"/>
    <xf numFmtId="0" fontId="3" fillId="108" borderId="26" xfId="1" applyFont="1" applyFill="1" applyBorder="1"/>
    <xf numFmtId="0" fontId="3" fillId="108" borderId="28" xfId="1" applyFont="1" applyFill="1" applyBorder="1"/>
    <xf numFmtId="0" fontId="3" fillId="108" borderId="27" xfId="1" applyFont="1" applyFill="1" applyBorder="1"/>
    <xf numFmtId="0" fontId="3" fillId="107" borderId="27" xfId="1" applyFont="1" applyFill="1" applyBorder="1"/>
    <xf numFmtId="0" fontId="3" fillId="107" borderId="30" xfId="1" applyFont="1" applyFill="1" applyBorder="1"/>
    <xf numFmtId="0" fontId="3" fillId="107" borderId="23" xfId="1" applyFont="1" applyFill="1" applyBorder="1"/>
    <xf numFmtId="0" fontId="3" fillId="107" borderId="24" xfId="1" applyFont="1" applyFill="1" applyBorder="1"/>
    <xf numFmtId="0" fontId="3" fillId="108" borderId="24" xfId="1" applyFont="1" applyFill="1" applyBorder="1"/>
    <xf numFmtId="0" fontId="3" fillId="108" borderId="25" xfId="1" applyFont="1" applyFill="1" applyBorder="1"/>
    <xf numFmtId="0" fontId="3" fillId="100" borderId="10" xfId="1" applyFont="1" applyFill="1" applyBorder="1"/>
    <xf numFmtId="0" fontId="3" fillId="107" borderId="32" xfId="1" applyFont="1" applyFill="1" applyBorder="1"/>
    <xf numFmtId="0" fontId="3" fillId="107" borderId="4" xfId="1" applyFont="1" applyFill="1" applyBorder="1"/>
    <xf numFmtId="0" fontId="3" fillId="108" borderId="4" xfId="1" applyFont="1" applyFill="1" applyBorder="1"/>
    <xf numFmtId="0" fontId="3" fillId="108" borderId="31" xfId="1" applyFont="1" applyFill="1" applyBorder="1"/>
    <xf numFmtId="0" fontId="3" fillId="100" borderId="11" xfId="1" applyFont="1" applyFill="1" applyBorder="1"/>
    <xf numFmtId="0" fontId="3" fillId="100" borderId="12" xfId="1" applyFont="1" applyFill="1" applyBorder="1"/>
    <xf numFmtId="0" fontId="3" fillId="100" borderId="13" xfId="1" applyFont="1" applyFill="1" applyBorder="1"/>
    <xf numFmtId="0" fontId="3" fillId="100" borderId="14" xfId="1" applyFont="1" applyFill="1" applyBorder="1"/>
    <xf numFmtId="0" fontId="3" fillId="100" borderId="1" xfId="1" applyFont="1" applyFill="1" applyBorder="1"/>
    <xf numFmtId="0" fontId="3" fillId="100" borderId="15" xfId="1" applyFont="1" applyFill="1" applyBorder="1"/>
  </cellXfs>
  <cellStyles count="5">
    <cellStyle name="Standaard" xfId="0" builtinId="0"/>
    <cellStyle name="Standaard 2" xfId="2"/>
    <cellStyle name="Standaard 2 2" xfId="3"/>
    <cellStyle name="Standaard 3" xfId="4"/>
    <cellStyle name="Standaard 4" xfId="1"/>
  </cellStyles>
  <dxfs count="427"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92D050"/>
      </font>
      <fill>
        <patternFill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92D050"/>
      </font>
      <fill>
        <patternFill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8000"/>
      <color rgb="FF3701FF"/>
      <color rgb="FF00FF00"/>
      <color rgb="FF0000FF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Q115"/>
  <sheetViews>
    <sheetView workbookViewId="0">
      <selection activeCell="M11" sqref="M11"/>
    </sheetView>
  </sheetViews>
  <sheetFormatPr defaultColWidth="0" defaultRowHeight="12.75" zeroHeight="1" x14ac:dyDescent="0.2"/>
  <cols>
    <col min="1" max="6" width="2.42578125" customWidth="1"/>
    <col min="7" max="7" width="2.42578125" style="109" customWidth="1"/>
    <col min="8" max="65" width="2.42578125" customWidth="1"/>
    <col min="66" max="147" width="2.42578125" hidden="1" customWidth="1"/>
    <col min="148" max="16384" width="9.140625" hidden="1"/>
  </cols>
  <sheetData>
    <row r="1" spans="1:100" x14ac:dyDescent="0.2">
      <c r="A1" s="248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8"/>
      <c r="R1" s="218"/>
      <c r="S1" s="249"/>
      <c r="T1" s="250"/>
      <c r="U1" s="250"/>
      <c r="V1" s="250"/>
      <c r="W1" s="250"/>
      <c r="X1" s="251"/>
      <c r="Y1" s="251"/>
      <c r="Z1" s="251"/>
      <c r="AA1" s="251"/>
      <c r="AB1" s="252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49"/>
      <c r="AR1" s="250"/>
      <c r="AS1" s="250"/>
      <c r="AT1" s="250"/>
      <c r="AU1" s="251"/>
      <c r="AV1" s="251"/>
      <c r="AW1" s="251"/>
      <c r="AX1" s="252"/>
      <c r="AY1" s="219"/>
      <c r="AZ1" s="219"/>
      <c r="BA1" s="219"/>
      <c r="BB1" s="219"/>
      <c r="BC1" s="219"/>
      <c r="BD1" s="219"/>
      <c r="BE1" s="217"/>
      <c r="BF1" s="217"/>
      <c r="BG1" s="217"/>
      <c r="BH1" s="217"/>
      <c r="BI1" s="217"/>
      <c r="BJ1" s="217"/>
      <c r="BK1" s="217"/>
      <c r="BL1" s="253"/>
      <c r="BM1" s="133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1"/>
    </row>
    <row r="2" spans="1:100" x14ac:dyDescent="0.2">
      <c r="A2" s="254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2"/>
      <c r="R2" s="222"/>
      <c r="S2" s="238"/>
      <c r="T2" s="233"/>
      <c r="U2" s="233"/>
      <c r="V2" s="233"/>
      <c r="W2" s="233"/>
      <c r="X2" s="234"/>
      <c r="Y2" s="234"/>
      <c r="Z2" s="234"/>
      <c r="AA2" s="234"/>
      <c r="AB2" s="24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38"/>
      <c r="AR2" s="233"/>
      <c r="AS2" s="233"/>
      <c r="AT2" s="233"/>
      <c r="AU2" s="234"/>
      <c r="AV2" s="234"/>
      <c r="AW2" s="234"/>
      <c r="AX2" s="241"/>
      <c r="AY2" s="220"/>
      <c r="AZ2" s="220"/>
      <c r="BA2" s="220"/>
      <c r="BB2" s="220"/>
      <c r="BC2" s="220"/>
      <c r="BD2" s="220"/>
      <c r="BE2" s="221"/>
      <c r="BF2" s="221"/>
      <c r="BG2" s="221"/>
      <c r="BH2" s="221"/>
      <c r="BI2" s="221"/>
      <c r="BJ2" s="221"/>
      <c r="BK2" s="221"/>
      <c r="BL2" s="255"/>
      <c r="BM2" s="133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112"/>
    </row>
    <row r="3" spans="1:100" x14ac:dyDescent="0.2">
      <c r="A3" s="254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2"/>
      <c r="R3" s="222"/>
      <c r="S3" s="238"/>
      <c r="T3" s="233"/>
      <c r="U3" s="233"/>
      <c r="V3" s="233"/>
      <c r="W3" s="233"/>
      <c r="X3" s="234"/>
      <c r="Y3" s="234"/>
      <c r="Z3" s="234"/>
      <c r="AA3" s="234"/>
      <c r="AB3" s="241"/>
      <c r="AC3" s="220"/>
      <c r="AD3" s="220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38"/>
      <c r="AR3" s="233"/>
      <c r="AS3" s="233"/>
      <c r="AT3" s="233"/>
      <c r="AU3" s="234"/>
      <c r="AV3" s="234"/>
      <c r="AW3" s="234"/>
      <c r="AX3" s="241"/>
      <c r="AY3" s="220"/>
      <c r="AZ3" s="220"/>
      <c r="BA3" s="220"/>
      <c r="BB3" s="220"/>
      <c r="BC3" s="220"/>
      <c r="BD3" s="220"/>
      <c r="BE3" s="221"/>
      <c r="BF3" s="221"/>
      <c r="BG3" s="221"/>
      <c r="BH3" s="221"/>
      <c r="BI3" s="221"/>
      <c r="BJ3" s="221"/>
      <c r="BK3" s="221"/>
      <c r="BL3" s="255"/>
      <c r="BM3" s="133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112"/>
    </row>
    <row r="4" spans="1:100" x14ac:dyDescent="0.2">
      <c r="A4" s="254"/>
      <c r="B4" s="221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4"/>
      <c r="R4" s="224"/>
      <c r="S4" s="238"/>
      <c r="T4" s="233"/>
      <c r="U4" s="233"/>
      <c r="V4" s="233"/>
      <c r="W4" s="233"/>
      <c r="X4" s="234"/>
      <c r="Y4" s="234"/>
      <c r="Z4" s="234"/>
      <c r="AA4" s="234"/>
      <c r="AB4" s="241"/>
      <c r="AC4" s="220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39"/>
      <c r="AR4" s="234"/>
      <c r="AS4" s="234"/>
      <c r="AT4" s="234"/>
      <c r="AU4" s="233"/>
      <c r="AV4" s="233"/>
      <c r="AW4" s="233"/>
      <c r="AX4" s="242"/>
      <c r="AY4" s="220"/>
      <c r="AZ4" s="220"/>
      <c r="BA4" s="220"/>
      <c r="BB4" s="220"/>
      <c r="BC4" s="220"/>
      <c r="BD4" s="220"/>
      <c r="BE4" s="221"/>
      <c r="BF4" s="221"/>
      <c r="BG4" s="221"/>
      <c r="BH4" s="221"/>
      <c r="BI4" s="221"/>
      <c r="BJ4" s="221"/>
      <c r="BK4" s="221"/>
      <c r="BL4" s="255"/>
      <c r="BM4" s="133"/>
      <c r="BN4" s="96"/>
      <c r="BO4" s="96"/>
      <c r="BP4" s="96"/>
      <c r="BQ4" s="96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96"/>
      <c r="CD4" s="96"/>
      <c r="CE4" s="96"/>
      <c r="CF4" s="96"/>
      <c r="CG4" s="96"/>
      <c r="CH4" s="96"/>
      <c r="CI4" s="96"/>
      <c r="CJ4" s="96"/>
      <c r="CK4" s="96"/>
      <c r="CL4" s="96"/>
      <c r="CM4" s="96"/>
      <c r="CN4" s="96"/>
      <c r="CO4" s="96"/>
      <c r="CP4" s="96"/>
      <c r="CQ4" s="96"/>
      <c r="CR4" s="96"/>
      <c r="CS4" s="96"/>
      <c r="CT4" s="96"/>
      <c r="CU4" s="96"/>
      <c r="CV4" s="112"/>
    </row>
    <row r="5" spans="1:100" x14ac:dyDescent="0.2">
      <c r="A5" s="254"/>
      <c r="B5" s="221"/>
      <c r="C5" s="221"/>
      <c r="D5" s="221"/>
      <c r="E5" s="221"/>
      <c r="F5" s="221"/>
      <c r="G5" s="221"/>
      <c r="H5" s="221"/>
      <c r="I5" s="244"/>
      <c r="J5" s="245"/>
      <c r="K5" s="245"/>
      <c r="L5" s="245"/>
      <c r="M5" s="246"/>
      <c r="N5" s="246"/>
      <c r="O5" s="246"/>
      <c r="P5" s="247"/>
      <c r="Q5" s="222"/>
      <c r="R5" s="222"/>
      <c r="S5" s="239"/>
      <c r="T5" s="234"/>
      <c r="U5" s="234"/>
      <c r="V5" s="234"/>
      <c r="W5" s="234"/>
      <c r="X5" s="233"/>
      <c r="Y5" s="233"/>
      <c r="Z5" s="233"/>
      <c r="AA5" s="233"/>
      <c r="AB5" s="242"/>
      <c r="AC5" s="220"/>
      <c r="AD5" s="220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39"/>
      <c r="AR5" s="234"/>
      <c r="AS5" s="234"/>
      <c r="AT5" s="234"/>
      <c r="AU5" s="233"/>
      <c r="AV5" s="233"/>
      <c r="AW5" s="233"/>
      <c r="AX5" s="242"/>
      <c r="AY5" s="220"/>
      <c r="AZ5" s="220"/>
      <c r="BA5" s="220"/>
      <c r="BB5" s="220"/>
      <c r="BC5" s="220"/>
      <c r="BD5" s="220"/>
      <c r="BE5" s="221"/>
      <c r="BF5" s="221"/>
      <c r="BG5" s="221"/>
      <c r="BH5" s="221"/>
      <c r="BI5" s="221"/>
      <c r="BJ5" s="221"/>
      <c r="BK5" s="221"/>
      <c r="BL5" s="255"/>
      <c r="BM5" s="133"/>
      <c r="BN5" s="96"/>
      <c r="BO5" s="96"/>
      <c r="BP5" s="96"/>
      <c r="BQ5" s="96"/>
      <c r="BR5" s="96"/>
      <c r="BS5" s="96"/>
      <c r="BT5" s="96"/>
      <c r="BU5" s="96"/>
      <c r="BV5" s="96"/>
      <c r="BW5" s="96"/>
      <c r="BX5" s="96"/>
      <c r="BY5" s="96"/>
      <c r="BZ5" s="96"/>
      <c r="CA5" s="96"/>
      <c r="CB5" s="96"/>
      <c r="CC5" s="96"/>
      <c r="CD5" s="96"/>
      <c r="CE5" s="96"/>
      <c r="CF5" s="96"/>
      <c r="CG5" s="96"/>
      <c r="CH5" s="96"/>
      <c r="CI5" s="96"/>
      <c r="CJ5" s="96"/>
      <c r="CK5" s="96"/>
      <c r="CL5" s="96"/>
      <c r="CM5" s="96"/>
      <c r="CN5" s="96"/>
      <c r="CO5" s="96"/>
      <c r="CP5" s="96"/>
      <c r="CQ5" s="96"/>
      <c r="CR5" s="96"/>
      <c r="CS5" s="96"/>
      <c r="CT5" s="96"/>
      <c r="CU5" s="96"/>
      <c r="CV5" s="112"/>
    </row>
    <row r="6" spans="1:100" x14ac:dyDescent="0.2">
      <c r="A6" s="254"/>
      <c r="B6" s="221"/>
      <c r="C6" s="221"/>
      <c r="D6" s="221"/>
      <c r="E6" s="221"/>
      <c r="F6" s="221"/>
      <c r="G6" s="221"/>
      <c r="H6" s="221"/>
      <c r="I6" s="238"/>
      <c r="J6" s="233"/>
      <c r="K6" s="233"/>
      <c r="L6" s="233"/>
      <c r="M6" s="234"/>
      <c r="N6" s="234"/>
      <c r="O6" s="234"/>
      <c r="P6" s="241"/>
      <c r="Q6" s="222"/>
      <c r="R6" s="222"/>
      <c r="S6" s="239"/>
      <c r="T6" s="234"/>
      <c r="U6" s="234"/>
      <c r="V6" s="234"/>
      <c r="W6" s="234"/>
      <c r="X6" s="233"/>
      <c r="Y6" s="233"/>
      <c r="Z6" s="233"/>
      <c r="AA6" s="233"/>
      <c r="AB6" s="242"/>
      <c r="AC6" s="220"/>
      <c r="AD6" s="220"/>
      <c r="AE6" s="221"/>
      <c r="AF6" s="221"/>
      <c r="AG6" s="244"/>
      <c r="AH6" s="245"/>
      <c r="AI6" s="245"/>
      <c r="AJ6" s="245"/>
      <c r="AK6" s="246"/>
      <c r="AL6" s="246"/>
      <c r="AM6" s="246"/>
      <c r="AN6" s="247"/>
      <c r="AO6" s="221"/>
      <c r="AP6" s="221"/>
      <c r="AQ6" s="240"/>
      <c r="AR6" s="237"/>
      <c r="AS6" s="231"/>
      <c r="AT6" s="240"/>
      <c r="AU6" s="235"/>
      <c r="AV6" s="235"/>
      <c r="AW6" s="235"/>
      <c r="AX6" s="243"/>
      <c r="AY6" s="220"/>
      <c r="AZ6" s="220"/>
      <c r="BA6" s="220"/>
      <c r="BB6" s="220"/>
      <c r="BC6" s="220"/>
      <c r="BD6" s="220"/>
      <c r="BE6" s="221"/>
      <c r="BF6" s="221"/>
      <c r="BG6" s="221"/>
      <c r="BH6" s="221"/>
      <c r="BI6" s="221"/>
      <c r="BJ6" s="221"/>
      <c r="BK6" s="221"/>
      <c r="BL6" s="255"/>
      <c r="BM6" s="133"/>
      <c r="BN6" s="96"/>
      <c r="BO6" s="96"/>
      <c r="BP6" s="96"/>
      <c r="BQ6" s="96"/>
      <c r="BR6" s="96"/>
      <c r="BS6" s="96"/>
      <c r="BT6" s="96"/>
      <c r="BU6" s="96"/>
      <c r="BV6" s="96"/>
      <c r="BW6" s="96"/>
      <c r="BX6" s="96"/>
      <c r="BY6" s="96"/>
      <c r="BZ6" s="96"/>
      <c r="CA6" s="96"/>
      <c r="CB6" s="96"/>
      <c r="CC6" s="96"/>
      <c r="CD6" s="96"/>
      <c r="CE6" s="96"/>
      <c r="CF6" s="96"/>
      <c r="CG6" s="96"/>
      <c r="CH6" s="96"/>
      <c r="CI6" s="96"/>
      <c r="CJ6" s="96"/>
      <c r="CK6" s="96"/>
      <c r="CL6" s="96"/>
      <c r="CM6" s="96"/>
      <c r="CN6" s="96"/>
      <c r="CO6" s="96"/>
      <c r="CP6" s="96"/>
      <c r="CQ6" s="96"/>
      <c r="CR6" s="96"/>
      <c r="CS6" s="96"/>
      <c r="CT6" s="96"/>
      <c r="CU6" s="96"/>
      <c r="CV6" s="112"/>
    </row>
    <row r="7" spans="1:100" x14ac:dyDescent="0.2">
      <c r="A7" s="254"/>
      <c r="B7" s="221"/>
      <c r="C7" s="221"/>
      <c r="D7" s="221"/>
      <c r="E7" s="221"/>
      <c r="F7" s="221"/>
      <c r="G7" s="221"/>
      <c r="H7" s="221"/>
      <c r="I7" s="238"/>
      <c r="J7" s="233"/>
      <c r="K7" s="233"/>
      <c r="L7" s="233"/>
      <c r="M7" s="234"/>
      <c r="N7" s="234"/>
      <c r="O7" s="234"/>
      <c r="P7" s="241"/>
      <c r="Q7" s="222"/>
      <c r="R7" s="222"/>
      <c r="S7" s="239"/>
      <c r="T7" s="234"/>
      <c r="U7" s="234"/>
      <c r="V7" s="234"/>
      <c r="W7" s="234"/>
      <c r="X7" s="233"/>
      <c r="Y7" s="233"/>
      <c r="Z7" s="233"/>
      <c r="AA7" s="233"/>
      <c r="AB7" s="242"/>
      <c r="AC7" s="220"/>
      <c r="AD7" s="220"/>
      <c r="AE7" s="221"/>
      <c r="AF7" s="221"/>
      <c r="AG7" s="238"/>
      <c r="AH7" s="233"/>
      <c r="AI7" s="233"/>
      <c r="AJ7" s="233"/>
      <c r="AK7" s="234"/>
      <c r="AL7" s="234"/>
      <c r="AM7" s="234"/>
      <c r="AN7" s="241"/>
      <c r="AO7" s="221"/>
      <c r="AP7" s="221"/>
      <c r="AQ7" s="227"/>
      <c r="AR7" s="227"/>
      <c r="AS7" s="227"/>
      <c r="AT7" s="227"/>
      <c r="AU7" s="227"/>
      <c r="AV7" s="227"/>
      <c r="AW7" s="227"/>
      <c r="AX7" s="227"/>
      <c r="AY7" s="227"/>
      <c r="AZ7" s="227"/>
      <c r="BA7" s="227"/>
      <c r="BB7" s="227"/>
      <c r="BC7" s="227"/>
      <c r="BD7" s="227"/>
      <c r="BE7" s="221"/>
      <c r="BF7" s="221"/>
      <c r="BG7" s="221"/>
      <c r="BH7" s="221"/>
      <c r="BI7" s="221"/>
      <c r="BJ7" s="221"/>
      <c r="BK7" s="221"/>
      <c r="BL7" s="255"/>
      <c r="BM7" s="133"/>
      <c r="BN7" s="96"/>
      <c r="BO7" s="96"/>
      <c r="BP7" s="96"/>
      <c r="BQ7" s="96"/>
      <c r="BR7" s="96"/>
      <c r="BS7" s="96"/>
      <c r="BT7" s="96"/>
      <c r="BU7" s="96"/>
      <c r="BV7" s="96"/>
      <c r="BW7" s="96"/>
      <c r="BX7" s="96"/>
      <c r="BY7" s="96"/>
      <c r="BZ7" s="96"/>
      <c r="CA7" s="96"/>
      <c r="CB7" s="96"/>
      <c r="CC7" s="96"/>
      <c r="CD7" s="96"/>
      <c r="CE7" s="96"/>
      <c r="CF7" s="96"/>
      <c r="CG7" s="96"/>
      <c r="CH7" s="96"/>
      <c r="CI7" s="96"/>
      <c r="CJ7" s="96"/>
      <c r="CK7" s="96"/>
      <c r="CL7" s="96"/>
      <c r="CM7" s="96"/>
      <c r="CN7" s="96"/>
      <c r="CO7" s="96"/>
      <c r="CP7" s="96"/>
      <c r="CQ7" s="96"/>
      <c r="CR7" s="96"/>
      <c r="CS7" s="96"/>
      <c r="CT7" s="96"/>
      <c r="CU7" s="96"/>
      <c r="CV7" s="112"/>
    </row>
    <row r="8" spans="1:100" x14ac:dyDescent="0.2">
      <c r="A8" s="254"/>
      <c r="B8" s="221"/>
      <c r="C8" s="221"/>
      <c r="D8" s="221"/>
      <c r="E8" s="221"/>
      <c r="F8" s="221"/>
      <c r="G8" s="221"/>
      <c r="H8" s="221"/>
      <c r="I8" s="239"/>
      <c r="J8" s="234"/>
      <c r="K8" s="234"/>
      <c r="L8" s="234"/>
      <c r="M8" s="233"/>
      <c r="N8" s="233"/>
      <c r="O8" s="233"/>
      <c r="P8" s="242"/>
      <c r="Q8" s="222"/>
      <c r="R8" s="222"/>
      <c r="S8" s="240"/>
      <c r="T8" s="236"/>
      <c r="U8" s="236"/>
      <c r="V8" s="237"/>
      <c r="W8" s="230"/>
      <c r="X8" s="232"/>
      <c r="Y8" s="235"/>
      <c r="Z8" s="235"/>
      <c r="AA8" s="235"/>
      <c r="AB8" s="243"/>
      <c r="AC8" s="220"/>
      <c r="AD8" s="220"/>
      <c r="AE8" s="221"/>
      <c r="AF8" s="221"/>
      <c r="AG8" s="238"/>
      <c r="AH8" s="233"/>
      <c r="AI8" s="233"/>
      <c r="AJ8" s="233"/>
      <c r="AK8" s="234"/>
      <c r="AL8" s="234"/>
      <c r="AM8" s="234"/>
      <c r="AN8" s="241"/>
      <c r="AO8" s="221"/>
      <c r="AP8" s="221"/>
      <c r="AQ8" s="227"/>
      <c r="AR8" s="227"/>
      <c r="AS8" s="227"/>
      <c r="AT8" s="227"/>
      <c r="AU8" s="227"/>
      <c r="AV8" s="227"/>
      <c r="AW8" s="227"/>
      <c r="AX8" s="227"/>
      <c r="AY8" s="227"/>
      <c r="AZ8" s="227"/>
      <c r="BA8" s="227"/>
      <c r="BB8" s="227"/>
      <c r="BC8" s="227"/>
      <c r="BD8" s="227"/>
      <c r="BE8" s="221"/>
      <c r="BF8" s="221"/>
      <c r="BG8" s="221"/>
      <c r="BH8" s="221"/>
      <c r="BI8" s="221"/>
      <c r="BJ8" s="221"/>
      <c r="BK8" s="221"/>
      <c r="BL8" s="255"/>
      <c r="BM8" s="133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112"/>
    </row>
    <row r="9" spans="1:100" x14ac:dyDescent="0.2">
      <c r="A9" s="254"/>
      <c r="B9" s="221"/>
      <c r="C9" s="221"/>
      <c r="D9" s="221"/>
      <c r="E9" s="221"/>
      <c r="F9" s="221"/>
      <c r="G9" s="221"/>
      <c r="H9" s="221"/>
      <c r="I9" s="239"/>
      <c r="J9" s="234"/>
      <c r="K9" s="234"/>
      <c r="L9" s="234"/>
      <c r="M9" s="233"/>
      <c r="N9" s="233"/>
      <c r="O9" s="233"/>
      <c r="P9" s="242"/>
      <c r="Q9" s="222"/>
      <c r="R9" s="222"/>
      <c r="S9" s="220"/>
      <c r="T9" s="220"/>
      <c r="U9" s="220"/>
      <c r="V9" s="220"/>
      <c r="W9" s="227"/>
      <c r="X9" s="227"/>
      <c r="Y9" s="220"/>
      <c r="Z9" s="220"/>
      <c r="AA9" s="220"/>
      <c r="AB9" s="220"/>
      <c r="AC9" s="220"/>
      <c r="AD9" s="220"/>
      <c r="AE9" s="221"/>
      <c r="AF9" s="221"/>
      <c r="AG9" s="239"/>
      <c r="AH9" s="234"/>
      <c r="AI9" s="234"/>
      <c r="AJ9" s="234"/>
      <c r="AK9" s="233"/>
      <c r="AL9" s="233"/>
      <c r="AM9" s="233"/>
      <c r="AN9" s="242"/>
      <c r="AO9" s="221"/>
      <c r="AP9" s="221"/>
      <c r="AQ9" s="221"/>
      <c r="AR9" s="221"/>
      <c r="AS9" s="221"/>
      <c r="AT9" s="221"/>
      <c r="AU9" s="221"/>
      <c r="AV9" s="221"/>
      <c r="AW9" s="225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  <c r="BJ9" s="221"/>
      <c r="BK9" s="221"/>
      <c r="BL9" s="255"/>
      <c r="BM9" s="133"/>
      <c r="BN9" s="96"/>
      <c r="BO9" s="96"/>
      <c r="BP9" s="96"/>
      <c r="BQ9" s="96"/>
      <c r="BR9" s="96"/>
      <c r="BS9" s="96"/>
      <c r="BT9" s="96"/>
      <c r="BU9" s="96"/>
      <c r="BV9" s="96"/>
      <c r="BW9" s="96"/>
      <c r="BX9" s="96"/>
      <c r="BY9" s="96"/>
      <c r="BZ9" s="96"/>
      <c r="CA9" s="96"/>
      <c r="CB9" s="96"/>
      <c r="CC9" s="96"/>
      <c r="CD9" s="96"/>
      <c r="CE9" s="96"/>
      <c r="CF9" s="96"/>
      <c r="CG9" s="96"/>
      <c r="CH9" s="96"/>
      <c r="CI9" s="96"/>
      <c r="CJ9" s="96"/>
      <c r="CK9" s="96"/>
      <c r="CL9" s="96"/>
      <c r="CM9" s="96"/>
      <c r="CN9" s="96"/>
      <c r="CO9" s="96"/>
      <c r="CP9" s="96"/>
      <c r="CQ9" s="96"/>
      <c r="CR9" s="96"/>
      <c r="CS9" s="96"/>
      <c r="CT9" s="96"/>
      <c r="CU9" s="96"/>
      <c r="CV9" s="112"/>
    </row>
    <row r="10" spans="1:100" x14ac:dyDescent="0.2">
      <c r="A10" s="254"/>
      <c r="B10" s="221"/>
      <c r="C10" s="221"/>
      <c r="D10" s="221"/>
      <c r="E10" s="221"/>
      <c r="F10" s="221"/>
      <c r="G10" s="221"/>
      <c r="H10" s="221"/>
      <c r="I10" s="240"/>
      <c r="J10" s="237"/>
      <c r="K10" s="231"/>
      <c r="L10" s="240"/>
      <c r="M10" s="235"/>
      <c r="N10" s="235"/>
      <c r="O10" s="235"/>
      <c r="P10" s="243"/>
      <c r="Q10" s="222"/>
      <c r="R10" s="222"/>
      <c r="S10" s="220"/>
      <c r="T10" s="220"/>
      <c r="U10" s="220"/>
      <c r="V10" s="220"/>
      <c r="W10" s="227"/>
      <c r="X10" s="227"/>
      <c r="Y10" s="220"/>
      <c r="Z10" s="220"/>
      <c r="AA10" s="220"/>
      <c r="AB10" s="220"/>
      <c r="AC10" s="220"/>
      <c r="AD10" s="220"/>
      <c r="AE10" s="220"/>
      <c r="AF10" s="220"/>
      <c r="AG10" s="239"/>
      <c r="AH10" s="234"/>
      <c r="AI10" s="234"/>
      <c r="AJ10" s="234"/>
      <c r="AK10" s="233"/>
      <c r="AL10" s="233"/>
      <c r="AM10" s="233"/>
      <c r="AN10" s="242"/>
      <c r="AO10" s="221"/>
      <c r="AP10" s="221"/>
      <c r="AQ10" s="221"/>
      <c r="AR10" s="221"/>
      <c r="AS10" s="221"/>
      <c r="AT10" s="221"/>
      <c r="AU10" s="226"/>
      <c r="AV10" s="226"/>
      <c r="AW10" s="226"/>
      <c r="AX10" s="226"/>
      <c r="AY10" s="226"/>
      <c r="AZ10" s="226"/>
      <c r="BA10" s="226"/>
      <c r="BB10" s="226"/>
      <c r="BC10" s="221"/>
      <c r="BD10" s="221"/>
      <c r="BE10" s="221"/>
      <c r="BF10" s="221"/>
      <c r="BG10" s="221"/>
      <c r="BH10" s="221"/>
      <c r="BI10" s="221"/>
      <c r="BJ10" s="221"/>
      <c r="BK10" s="221"/>
      <c r="BL10" s="255"/>
      <c r="BM10" s="133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  <c r="BZ10" s="96"/>
      <c r="CA10" s="96"/>
      <c r="CB10" s="96"/>
      <c r="CC10" s="96"/>
      <c r="CD10" s="96"/>
      <c r="CE10" s="96"/>
      <c r="CF10" s="96"/>
      <c r="CG10" s="96"/>
      <c r="CH10" s="96"/>
      <c r="CI10" s="96"/>
      <c r="CJ10" s="96"/>
      <c r="CK10" s="96"/>
      <c r="CL10" s="96"/>
      <c r="CM10" s="96"/>
      <c r="CN10" s="96"/>
      <c r="CO10" s="96"/>
      <c r="CP10" s="96"/>
      <c r="CQ10" s="96"/>
      <c r="CR10" s="96"/>
      <c r="CS10" s="96"/>
      <c r="CT10" s="96"/>
      <c r="CU10" s="96"/>
      <c r="CV10" s="112"/>
    </row>
    <row r="11" spans="1:100" x14ac:dyDescent="0.2">
      <c r="A11" s="254"/>
      <c r="B11" s="221"/>
      <c r="C11" s="221"/>
      <c r="D11" s="221"/>
      <c r="E11" s="221"/>
      <c r="F11" s="221"/>
      <c r="G11" s="220"/>
      <c r="H11" s="220"/>
      <c r="I11" s="227"/>
      <c r="J11" s="227"/>
      <c r="K11" s="228"/>
      <c r="L11" s="227"/>
      <c r="M11" s="228"/>
      <c r="N11" s="227"/>
      <c r="O11" s="227"/>
      <c r="P11" s="227"/>
      <c r="Q11" s="227"/>
      <c r="R11" s="227"/>
      <c r="S11" s="227"/>
      <c r="T11" s="227"/>
      <c r="U11" s="227"/>
      <c r="V11" s="227"/>
      <c r="W11" s="227"/>
      <c r="X11" s="227"/>
      <c r="Y11" s="227"/>
      <c r="Z11" s="227"/>
      <c r="AA11" s="227"/>
      <c r="AB11" s="227"/>
      <c r="AC11" s="227"/>
      <c r="AD11" s="220"/>
      <c r="AE11" s="220"/>
      <c r="AF11" s="220"/>
      <c r="AG11" s="240"/>
      <c r="AH11" s="237"/>
      <c r="AI11" s="231"/>
      <c r="AJ11" s="240"/>
      <c r="AK11" s="235"/>
      <c r="AL11" s="235"/>
      <c r="AM11" s="235"/>
      <c r="AN11" s="243"/>
      <c r="AO11" s="221"/>
      <c r="AP11" s="221"/>
      <c r="AQ11" s="221"/>
      <c r="AR11" s="221"/>
      <c r="AS11" s="226"/>
      <c r="AT11" s="226"/>
      <c r="AU11" s="226"/>
      <c r="AV11" s="226"/>
      <c r="AW11" s="226"/>
      <c r="AX11" s="226"/>
      <c r="AY11" s="226"/>
      <c r="AZ11" s="226"/>
      <c r="BA11" s="226"/>
      <c r="BB11" s="226"/>
      <c r="BC11" s="221"/>
      <c r="BD11" s="221"/>
      <c r="BE11" s="221"/>
      <c r="BF11" s="221"/>
      <c r="BG11" s="221"/>
      <c r="BH11" s="221"/>
      <c r="BI11" s="221"/>
      <c r="BJ11" s="221"/>
      <c r="BK11" s="221"/>
      <c r="BL11" s="255"/>
      <c r="BM11" s="133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112"/>
    </row>
    <row r="12" spans="1:100" x14ac:dyDescent="0.2">
      <c r="A12" s="254"/>
      <c r="B12" s="221"/>
      <c r="C12" s="221"/>
      <c r="D12" s="221"/>
      <c r="E12" s="221"/>
      <c r="F12" s="221"/>
      <c r="G12" s="220"/>
      <c r="H12" s="220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122"/>
      <c r="AB12" s="227"/>
      <c r="AC12" s="227"/>
      <c r="AD12" s="227"/>
      <c r="AE12" s="220"/>
      <c r="AF12" s="220"/>
      <c r="AG12" s="220"/>
      <c r="AH12" s="227"/>
      <c r="AI12" s="227"/>
      <c r="AJ12" s="220"/>
      <c r="AK12" s="220"/>
      <c r="AL12" s="220"/>
      <c r="AM12" s="220"/>
      <c r="AN12" s="220"/>
      <c r="AO12" s="221"/>
      <c r="AP12" s="221"/>
      <c r="AQ12" s="221"/>
      <c r="AR12" s="221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1"/>
      <c r="BF12" s="221"/>
      <c r="BG12" s="221"/>
      <c r="BH12" s="221"/>
      <c r="BI12" s="221"/>
      <c r="BJ12" s="221"/>
      <c r="BK12" s="221"/>
      <c r="BL12" s="255"/>
      <c r="BM12" s="133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  <c r="BY12" s="96"/>
      <c r="BZ12" s="96"/>
      <c r="CA12" s="96"/>
      <c r="CB12" s="96"/>
      <c r="CC12" s="96"/>
      <c r="CD12" s="96"/>
      <c r="CE12" s="96"/>
      <c r="CF12" s="96"/>
      <c r="CG12" s="96"/>
      <c r="CH12" s="96"/>
      <c r="CI12" s="96"/>
      <c r="CJ12" s="96"/>
      <c r="CK12" s="96"/>
      <c r="CL12" s="96"/>
      <c r="CM12" s="96"/>
      <c r="CN12" s="96"/>
      <c r="CO12" s="96"/>
      <c r="CP12" s="96"/>
      <c r="CQ12" s="96"/>
      <c r="CR12" s="96"/>
      <c r="CS12" s="96"/>
      <c r="CT12" s="96"/>
      <c r="CU12" s="96"/>
      <c r="CV12" s="112"/>
    </row>
    <row r="13" spans="1:100" x14ac:dyDescent="0.2">
      <c r="A13" s="254"/>
      <c r="B13" s="221"/>
      <c r="C13" s="221"/>
      <c r="D13" s="221"/>
      <c r="E13" s="221"/>
      <c r="F13" s="221"/>
      <c r="G13" s="227"/>
      <c r="H13" s="227"/>
      <c r="I13" s="227"/>
      <c r="J13" s="227"/>
      <c r="K13" s="220"/>
      <c r="L13" s="220"/>
      <c r="M13" s="220"/>
      <c r="N13" s="220"/>
      <c r="O13" s="220"/>
      <c r="P13" s="220"/>
      <c r="Q13" s="220"/>
      <c r="R13" s="220"/>
      <c r="S13" s="227"/>
      <c r="T13" s="227"/>
      <c r="U13" s="227"/>
      <c r="V13" s="220"/>
      <c r="W13" s="220"/>
      <c r="X13" s="220"/>
      <c r="Y13" s="220"/>
      <c r="Z13" s="220"/>
      <c r="AA13" s="220"/>
      <c r="AB13" s="227"/>
      <c r="AC13" s="227"/>
      <c r="AD13" s="227"/>
      <c r="AE13" s="220"/>
      <c r="AF13" s="220"/>
      <c r="AG13" s="220"/>
      <c r="AH13" s="227"/>
      <c r="AI13" s="227"/>
      <c r="AJ13" s="220"/>
      <c r="AK13" s="220"/>
      <c r="AL13" s="220"/>
      <c r="AM13" s="220"/>
      <c r="AN13" s="122"/>
      <c r="AO13" s="221"/>
      <c r="AP13" s="221"/>
      <c r="AQ13" s="221"/>
      <c r="AR13" s="221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1"/>
      <c r="BF13" s="221"/>
      <c r="BG13" s="221"/>
      <c r="BH13" s="221"/>
      <c r="BI13" s="221"/>
      <c r="BJ13" s="221"/>
      <c r="BK13" s="221"/>
      <c r="BL13" s="255"/>
      <c r="BM13" s="133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96"/>
      <c r="CJ13" s="96"/>
      <c r="CK13" s="96"/>
      <c r="CL13" s="96"/>
      <c r="CM13" s="96"/>
      <c r="CN13" s="96"/>
      <c r="CO13" s="96"/>
      <c r="CP13" s="96"/>
      <c r="CQ13" s="96"/>
      <c r="CR13" s="96"/>
      <c r="CS13" s="96"/>
      <c r="CT13" s="96"/>
      <c r="CU13" s="96"/>
      <c r="CV13" s="112"/>
    </row>
    <row r="14" spans="1:100" x14ac:dyDescent="0.2">
      <c r="A14" s="254"/>
      <c r="B14" s="221"/>
      <c r="C14" s="221"/>
      <c r="D14" s="221"/>
      <c r="E14" s="221"/>
      <c r="F14" s="221"/>
      <c r="G14" s="227"/>
      <c r="H14" s="227"/>
      <c r="I14" s="227"/>
      <c r="J14" s="122"/>
      <c r="K14" s="220"/>
      <c r="L14" s="220"/>
      <c r="M14" s="220"/>
      <c r="N14" s="220"/>
      <c r="O14" s="220"/>
      <c r="P14" s="220"/>
      <c r="Q14" s="220"/>
      <c r="R14" s="220"/>
      <c r="S14" s="227"/>
      <c r="T14" s="227"/>
      <c r="U14" s="220"/>
      <c r="V14" s="220"/>
      <c r="W14" s="220"/>
      <c r="X14" s="220"/>
      <c r="Y14" s="220"/>
      <c r="Z14" s="220"/>
      <c r="AA14" s="220"/>
      <c r="AB14" s="220"/>
      <c r="AC14" s="227"/>
      <c r="AD14" s="227"/>
      <c r="AE14" s="227"/>
      <c r="AF14" s="227"/>
      <c r="AG14" s="227"/>
      <c r="AH14" s="227"/>
      <c r="AI14" s="227"/>
      <c r="AJ14" s="227"/>
      <c r="AK14" s="227"/>
      <c r="AL14" s="227"/>
      <c r="AM14" s="227"/>
      <c r="AN14" s="227"/>
      <c r="AO14" s="227"/>
      <c r="AP14" s="227"/>
      <c r="AQ14" s="227"/>
      <c r="AR14" s="227"/>
      <c r="AS14" s="227"/>
      <c r="AT14" s="227"/>
      <c r="AU14" s="227"/>
      <c r="AV14" s="227"/>
      <c r="AW14" s="227"/>
      <c r="AX14" s="227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1"/>
      <c r="BJ14" s="221"/>
      <c r="BK14" s="221"/>
      <c r="BL14" s="255"/>
      <c r="BM14" s="133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  <c r="CU14" s="96"/>
      <c r="CV14" s="112"/>
    </row>
    <row r="15" spans="1:100" x14ac:dyDescent="0.2">
      <c r="A15" s="254"/>
      <c r="B15" s="221"/>
      <c r="C15" s="221"/>
      <c r="D15" s="221"/>
      <c r="E15" s="221"/>
      <c r="F15" s="221"/>
      <c r="G15" s="227"/>
      <c r="H15" s="227"/>
      <c r="I15" s="244"/>
      <c r="J15" s="245"/>
      <c r="K15" s="245"/>
      <c r="L15" s="245"/>
      <c r="M15" s="246"/>
      <c r="N15" s="246"/>
      <c r="O15" s="246"/>
      <c r="P15" s="247"/>
      <c r="Q15" s="220"/>
      <c r="R15" s="220"/>
      <c r="S15" s="227"/>
      <c r="T15" s="227"/>
      <c r="U15" s="220"/>
      <c r="V15" s="220"/>
      <c r="W15" s="220"/>
      <c r="X15" s="220"/>
      <c r="Y15" s="220"/>
      <c r="Z15" s="220"/>
      <c r="AA15" s="220"/>
      <c r="AB15" s="220"/>
      <c r="AC15" s="227"/>
      <c r="AD15" s="227"/>
      <c r="AE15" s="227"/>
      <c r="AF15" s="227"/>
      <c r="AG15" s="227"/>
      <c r="AH15" s="227"/>
      <c r="AI15" s="227"/>
      <c r="AJ15" s="227"/>
      <c r="AK15" s="227"/>
      <c r="AL15" s="227"/>
      <c r="AM15" s="227"/>
      <c r="AN15" s="227"/>
      <c r="AO15" s="227"/>
      <c r="AP15" s="227"/>
      <c r="AQ15" s="227"/>
      <c r="AR15" s="227"/>
      <c r="AS15" s="227"/>
      <c r="AT15" s="227"/>
      <c r="AU15" s="227"/>
      <c r="AV15" s="227"/>
      <c r="AW15" s="227"/>
      <c r="AX15" s="227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1"/>
      <c r="BJ15" s="221"/>
      <c r="BK15" s="221"/>
      <c r="BL15" s="255"/>
      <c r="BM15" s="133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6"/>
      <c r="BY15" s="96"/>
      <c r="BZ15" s="96"/>
      <c r="CA15" s="96"/>
      <c r="CB15" s="96"/>
      <c r="CC15" s="96"/>
      <c r="CD15" s="96"/>
      <c r="CE15" s="96"/>
      <c r="CF15" s="96"/>
      <c r="CG15" s="96"/>
      <c r="CH15" s="96"/>
      <c r="CI15" s="96"/>
      <c r="CJ15" s="96"/>
      <c r="CK15" s="96"/>
      <c r="CL15" s="96"/>
      <c r="CM15" s="96"/>
      <c r="CN15" s="96"/>
      <c r="CO15" s="96"/>
      <c r="CP15" s="96"/>
      <c r="CQ15" s="96"/>
      <c r="CR15" s="96"/>
      <c r="CS15" s="96"/>
      <c r="CT15" s="96"/>
      <c r="CU15" s="96"/>
      <c r="CV15" s="112"/>
    </row>
    <row r="16" spans="1:100" x14ac:dyDescent="0.2">
      <c r="A16" s="254"/>
      <c r="B16" s="221"/>
      <c r="C16" s="221"/>
      <c r="D16" s="221"/>
      <c r="E16" s="221"/>
      <c r="F16" s="221"/>
      <c r="G16" s="227"/>
      <c r="H16" s="227"/>
      <c r="I16" s="238"/>
      <c r="J16" s="233"/>
      <c r="K16" s="233"/>
      <c r="L16" s="233"/>
      <c r="M16" s="234"/>
      <c r="N16" s="234"/>
      <c r="O16" s="234"/>
      <c r="P16" s="241"/>
      <c r="Q16" s="220"/>
      <c r="R16" s="220"/>
      <c r="S16" s="227"/>
      <c r="T16" s="227"/>
      <c r="U16" s="227"/>
      <c r="V16" s="220"/>
      <c r="W16" s="220"/>
      <c r="X16" s="220"/>
      <c r="Y16" s="220"/>
      <c r="Z16" s="220"/>
      <c r="AA16" s="220"/>
      <c r="AB16" s="227"/>
      <c r="AC16" s="227"/>
      <c r="AD16" s="227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1"/>
      <c r="AP16" s="221"/>
      <c r="AQ16" s="221"/>
      <c r="AR16" s="221"/>
      <c r="AS16" s="226"/>
      <c r="AT16" s="226"/>
      <c r="AU16" s="226"/>
      <c r="AV16" s="226"/>
      <c r="AW16" s="227"/>
      <c r="AX16" s="227"/>
      <c r="AY16" s="227"/>
      <c r="AZ16" s="227"/>
      <c r="BA16" s="227"/>
      <c r="BB16" s="227"/>
      <c r="BC16" s="227"/>
      <c r="BD16" s="227"/>
      <c r="BE16" s="226"/>
      <c r="BF16" s="226"/>
      <c r="BG16" s="226"/>
      <c r="BH16" s="226"/>
      <c r="BI16" s="226"/>
      <c r="BJ16" s="226"/>
      <c r="BK16" s="221"/>
      <c r="BL16" s="255"/>
      <c r="BM16" s="133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6"/>
      <c r="CG16" s="96"/>
      <c r="CH16" s="96"/>
      <c r="CI16" s="96"/>
      <c r="CJ16" s="96"/>
      <c r="CK16" s="96"/>
      <c r="CL16" s="96"/>
      <c r="CM16" s="96"/>
      <c r="CN16" s="96"/>
      <c r="CO16" s="96"/>
      <c r="CP16" s="96"/>
      <c r="CQ16" s="96"/>
      <c r="CR16" s="96"/>
      <c r="CS16" s="96"/>
      <c r="CT16" s="96"/>
      <c r="CU16" s="96"/>
      <c r="CV16" s="112"/>
    </row>
    <row r="17" spans="1:100" x14ac:dyDescent="0.2">
      <c r="A17" s="254"/>
      <c r="B17" s="221"/>
      <c r="C17" s="221"/>
      <c r="D17" s="221"/>
      <c r="E17" s="221"/>
      <c r="F17" s="221"/>
      <c r="G17" s="227"/>
      <c r="H17" s="227"/>
      <c r="I17" s="238"/>
      <c r="J17" s="233"/>
      <c r="K17" s="233"/>
      <c r="L17" s="233"/>
      <c r="M17" s="234"/>
      <c r="N17" s="234"/>
      <c r="O17" s="234"/>
      <c r="P17" s="241"/>
      <c r="Q17" s="220"/>
      <c r="R17" s="220"/>
      <c r="S17" s="227"/>
      <c r="T17" s="227"/>
      <c r="U17" s="227"/>
      <c r="V17" s="227"/>
      <c r="W17" s="227"/>
      <c r="X17" s="227"/>
      <c r="Y17" s="227"/>
      <c r="Z17" s="227"/>
      <c r="AA17" s="227"/>
      <c r="AB17" s="227"/>
      <c r="AC17" s="227"/>
      <c r="AD17" s="227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1"/>
      <c r="AP17" s="221"/>
      <c r="AQ17" s="221"/>
      <c r="AR17" s="221"/>
      <c r="AS17" s="226"/>
      <c r="AT17" s="226"/>
      <c r="AU17" s="226"/>
      <c r="AV17" s="226"/>
      <c r="AW17" s="227"/>
      <c r="AX17" s="227"/>
      <c r="AY17" s="227"/>
      <c r="AZ17" s="227"/>
      <c r="BA17" s="227"/>
      <c r="BB17" s="227"/>
      <c r="BC17" s="227"/>
      <c r="BD17" s="227"/>
      <c r="BE17" s="226"/>
      <c r="BF17" s="226"/>
      <c r="BG17" s="226"/>
      <c r="BH17" s="226"/>
      <c r="BI17" s="226"/>
      <c r="BJ17" s="226"/>
      <c r="BK17" s="221"/>
      <c r="BL17" s="255"/>
      <c r="BM17" s="133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112"/>
    </row>
    <row r="18" spans="1:100" x14ac:dyDescent="0.2">
      <c r="A18" s="254"/>
      <c r="B18" s="221"/>
      <c r="C18" s="221"/>
      <c r="D18" s="221"/>
      <c r="E18" s="221"/>
      <c r="F18" s="221"/>
      <c r="G18" s="227"/>
      <c r="H18" s="227"/>
      <c r="I18" s="239"/>
      <c r="J18" s="234"/>
      <c r="K18" s="234"/>
      <c r="L18" s="234"/>
      <c r="M18" s="233"/>
      <c r="N18" s="233"/>
      <c r="O18" s="233"/>
      <c r="P18" s="242"/>
      <c r="Q18" s="220"/>
      <c r="R18" s="220"/>
      <c r="S18" s="220"/>
      <c r="T18" s="227"/>
      <c r="U18" s="227"/>
      <c r="V18" s="227"/>
      <c r="W18" s="227"/>
      <c r="X18" s="227"/>
      <c r="Y18" s="227"/>
      <c r="Z18" s="227"/>
      <c r="AA18" s="227"/>
      <c r="AB18" s="227"/>
      <c r="AC18" s="227"/>
      <c r="AD18" s="227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1"/>
      <c r="AP18" s="221"/>
      <c r="AQ18" s="221"/>
      <c r="AR18" s="221"/>
      <c r="AS18" s="221"/>
      <c r="AT18" s="221"/>
      <c r="AU18" s="226"/>
      <c r="AV18" s="226"/>
      <c r="AW18" s="226"/>
      <c r="AX18" s="226"/>
      <c r="AY18" s="226"/>
      <c r="AZ18" s="226"/>
      <c r="BA18" s="226"/>
      <c r="BB18" s="226"/>
      <c r="BC18" s="227"/>
      <c r="BD18" s="227"/>
      <c r="BE18" s="227"/>
      <c r="BF18" s="227"/>
      <c r="BG18" s="227"/>
      <c r="BH18" s="227"/>
      <c r="BI18" s="227"/>
      <c r="BJ18" s="227"/>
      <c r="BK18" s="227"/>
      <c r="BL18" s="229"/>
      <c r="BM18" s="133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112"/>
    </row>
    <row r="19" spans="1:100" x14ac:dyDescent="0.2">
      <c r="A19" s="254"/>
      <c r="B19" s="221"/>
      <c r="C19" s="221"/>
      <c r="D19" s="221"/>
      <c r="E19" s="221"/>
      <c r="F19" s="221"/>
      <c r="G19" s="227"/>
      <c r="H19" s="227"/>
      <c r="I19" s="239"/>
      <c r="J19" s="234"/>
      <c r="K19" s="234"/>
      <c r="L19" s="234"/>
      <c r="M19" s="233"/>
      <c r="N19" s="233"/>
      <c r="O19" s="233"/>
      <c r="P19" s="242"/>
      <c r="Q19" s="220"/>
      <c r="R19" s="220"/>
      <c r="S19" s="244"/>
      <c r="T19" s="245"/>
      <c r="U19" s="245"/>
      <c r="V19" s="245"/>
      <c r="W19" s="246"/>
      <c r="X19" s="246"/>
      <c r="Y19" s="246"/>
      <c r="Z19" s="247"/>
      <c r="AA19" s="220"/>
      <c r="AB19" s="220"/>
      <c r="AC19" s="227"/>
      <c r="AD19" s="227"/>
      <c r="AE19" s="244"/>
      <c r="AF19" s="245"/>
      <c r="AG19" s="245"/>
      <c r="AH19" s="245"/>
      <c r="AI19" s="246"/>
      <c r="AJ19" s="246"/>
      <c r="AK19" s="246"/>
      <c r="AL19" s="247"/>
      <c r="AM19" s="220"/>
      <c r="AN19" s="220"/>
      <c r="AO19" s="221"/>
      <c r="AP19" s="221"/>
      <c r="AQ19" s="221"/>
      <c r="AR19" s="221"/>
      <c r="AS19" s="221"/>
      <c r="AT19" s="221"/>
      <c r="AU19" s="226"/>
      <c r="AV19" s="226"/>
      <c r="AW19" s="226"/>
      <c r="AX19" s="226"/>
      <c r="AY19" s="226"/>
      <c r="AZ19" s="226"/>
      <c r="BA19" s="226"/>
      <c r="BB19" s="226"/>
      <c r="BC19" s="227"/>
      <c r="BD19" s="227"/>
      <c r="BE19" s="227"/>
      <c r="BF19" s="227"/>
      <c r="BG19" s="227"/>
      <c r="BH19" s="227"/>
      <c r="BI19" s="227"/>
      <c r="BJ19" s="227"/>
      <c r="BK19" s="227"/>
      <c r="BL19" s="229"/>
      <c r="BM19" s="133"/>
      <c r="BN19" s="96"/>
      <c r="BO19" s="96"/>
      <c r="BP19" s="96"/>
      <c r="BQ19" s="96"/>
      <c r="BR19" s="96"/>
      <c r="BS19" s="96"/>
      <c r="BT19" s="96"/>
      <c r="BU19" s="96"/>
      <c r="BV19" s="96"/>
      <c r="BW19" s="96"/>
      <c r="BX19" s="96"/>
      <c r="BY19" s="96"/>
      <c r="BZ19" s="96"/>
      <c r="CA19" s="96"/>
      <c r="CB19" s="96"/>
      <c r="CC19" s="96"/>
      <c r="CD19" s="96"/>
      <c r="CE19" s="96"/>
      <c r="CF19" s="96"/>
      <c r="CG19" s="96"/>
      <c r="CH19" s="96"/>
      <c r="CI19" s="96"/>
      <c r="CJ19" s="96"/>
      <c r="CK19" s="96"/>
      <c r="CL19" s="96"/>
      <c r="CM19" s="96"/>
      <c r="CN19" s="96"/>
      <c r="CO19" s="96"/>
      <c r="CP19" s="96"/>
      <c r="CQ19" s="96"/>
      <c r="CR19" s="96"/>
      <c r="CS19" s="96"/>
      <c r="CT19" s="96"/>
      <c r="CU19" s="96"/>
      <c r="CV19" s="112"/>
    </row>
    <row r="20" spans="1:100" x14ac:dyDescent="0.2">
      <c r="A20" s="254"/>
      <c r="B20" s="221"/>
      <c r="C20" s="221"/>
      <c r="D20" s="221"/>
      <c r="E20" s="221"/>
      <c r="F20" s="221"/>
      <c r="G20" s="227"/>
      <c r="H20" s="227"/>
      <c r="I20" s="240"/>
      <c r="J20" s="237"/>
      <c r="K20" s="231"/>
      <c r="L20" s="240"/>
      <c r="M20" s="235"/>
      <c r="N20" s="235"/>
      <c r="O20" s="235"/>
      <c r="P20" s="243"/>
      <c r="Q20" s="220"/>
      <c r="R20" s="220"/>
      <c r="S20" s="238"/>
      <c r="T20" s="233"/>
      <c r="U20" s="233"/>
      <c r="V20" s="233"/>
      <c r="W20" s="234"/>
      <c r="X20" s="234"/>
      <c r="Y20" s="234"/>
      <c r="Z20" s="241"/>
      <c r="AA20" s="220"/>
      <c r="AB20" s="220"/>
      <c r="AC20" s="227"/>
      <c r="AD20" s="227"/>
      <c r="AE20" s="238"/>
      <c r="AF20" s="233"/>
      <c r="AG20" s="233"/>
      <c r="AH20" s="233"/>
      <c r="AI20" s="234"/>
      <c r="AJ20" s="234"/>
      <c r="AK20" s="234"/>
      <c r="AL20" s="241"/>
      <c r="AM20" s="220"/>
      <c r="AN20" s="220"/>
      <c r="AO20" s="221"/>
      <c r="AP20" s="221"/>
      <c r="AQ20" s="221"/>
      <c r="AR20" s="221"/>
      <c r="AS20" s="221"/>
      <c r="AT20" s="221"/>
      <c r="AU20" s="221"/>
      <c r="AV20" s="221"/>
      <c r="AW20" s="221"/>
      <c r="AX20" s="221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55"/>
      <c r="BM20" s="133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112"/>
    </row>
    <row r="21" spans="1:100" x14ac:dyDescent="0.2">
      <c r="A21" s="254"/>
      <c r="B21" s="221"/>
      <c r="C21" s="221"/>
      <c r="D21" s="221"/>
      <c r="E21" s="221"/>
      <c r="F21" s="221"/>
      <c r="G21" s="227"/>
      <c r="H21" s="227"/>
      <c r="I21" s="227"/>
      <c r="J21" s="227"/>
      <c r="K21" s="227"/>
      <c r="L21" s="227"/>
      <c r="M21" s="227"/>
      <c r="N21" s="227"/>
      <c r="O21" s="220"/>
      <c r="P21" s="220"/>
      <c r="Q21" s="220"/>
      <c r="R21" s="220"/>
      <c r="S21" s="238"/>
      <c r="T21" s="233"/>
      <c r="U21" s="233"/>
      <c r="V21" s="233"/>
      <c r="W21" s="234"/>
      <c r="X21" s="234"/>
      <c r="Y21" s="234"/>
      <c r="Z21" s="241"/>
      <c r="AA21" s="220"/>
      <c r="AB21" s="220"/>
      <c r="AC21" s="227"/>
      <c r="AD21" s="227"/>
      <c r="AE21" s="238"/>
      <c r="AF21" s="233"/>
      <c r="AG21" s="233"/>
      <c r="AH21" s="233"/>
      <c r="AI21" s="234"/>
      <c r="AJ21" s="234"/>
      <c r="AK21" s="234"/>
      <c r="AL21" s="241"/>
      <c r="AM21" s="220"/>
      <c r="AN21" s="220"/>
      <c r="AO21" s="221"/>
      <c r="AP21" s="221"/>
      <c r="AQ21" s="221"/>
      <c r="AR21" s="221"/>
      <c r="AS21" s="221"/>
      <c r="AT21" s="221"/>
      <c r="AU21" s="221"/>
      <c r="AV21" s="221"/>
      <c r="AW21" s="221"/>
      <c r="AX21" s="221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55"/>
      <c r="BM21" s="133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112"/>
    </row>
    <row r="22" spans="1:100" x14ac:dyDescent="0.2">
      <c r="A22" s="254"/>
      <c r="B22" s="221"/>
      <c r="C22" s="221"/>
      <c r="D22" s="221"/>
      <c r="E22" s="221"/>
      <c r="F22" s="221"/>
      <c r="G22" s="227"/>
      <c r="H22" s="227"/>
      <c r="I22" s="227"/>
      <c r="J22" s="227"/>
      <c r="K22" s="227"/>
      <c r="L22" s="227"/>
      <c r="M22" s="227"/>
      <c r="N22" s="227"/>
      <c r="O22" s="227"/>
      <c r="P22" s="220"/>
      <c r="Q22" s="220"/>
      <c r="R22" s="220"/>
      <c r="S22" s="239"/>
      <c r="T22" s="234"/>
      <c r="U22" s="234"/>
      <c r="V22" s="234"/>
      <c r="W22" s="233"/>
      <c r="X22" s="233"/>
      <c r="Y22" s="233"/>
      <c r="Z22" s="242"/>
      <c r="AA22" s="220"/>
      <c r="AB22" s="220"/>
      <c r="AC22" s="227"/>
      <c r="AD22" s="227"/>
      <c r="AE22" s="239"/>
      <c r="AF22" s="234"/>
      <c r="AG22" s="234"/>
      <c r="AH22" s="234"/>
      <c r="AI22" s="233"/>
      <c r="AJ22" s="233"/>
      <c r="AK22" s="233"/>
      <c r="AL22" s="242"/>
      <c r="AM22" s="220"/>
      <c r="AN22" s="220"/>
      <c r="AO22" s="221"/>
      <c r="AP22" s="221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J22" s="221"/>
      <c r="BK22" s="221"/>
      <c r="BL22" s="255"/>
      <c r="BM22" s="133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112"/>
    </row>
    <row r="23" spans="1:100" x14ac:dyDescent="0.2">
      <c r="A23" s="254"/>
      <c r="B23" s="221"/>
      <c r="C23" s="221"/>
      <c r="D23" s="221"/>
      <c r="E23" s="221"/>
      <c r="F23" s="221"/>
      <c r="G23" s="220"/>
      <c r="H23" s="220"/>
      <c r="I23" s="220"/>
      <c r="J23" s="220"/>
      <c r="K23" s="220"/>
      <c r="L23" s="220"/>
      <c r="M23" s="220"/>
      <c r="N23" s="227"/>
      <c r="O23" s="227"/>
      <c r="P23" s="227"/>
      <c r="Q23" s="220"/>
      <c r="R23" s="220"/>
      <c r="S23" s="239"/>
      <c r="T23" s="234"/>
      <c r="U23" s="234"/>
      <c r="V23" s="234"/>
      <c r="W23" s="233"/>
      <c r="X23" s="233"/>
      <c r="Y23" s="233"/>
      <c r="Z23" s="242"/>
      <c r="AA23" s="220"/>
      <c r="AB23" s="220"/>
      <c r="AC23" s="227"/>
      <c r="AD23" s="227"/>
      <c r="AE23" s="239"/>
      <c r="AF23" s="234"/>
      <c r="AG23" s="234"/>
      <c r="AH23" s="234"/>
      <c r="AI23" s="233"/>
      <c r="AJ23" s="233"/>
      <c r="AK23" s="233"/>
      <c r="AL23" s="242"/>
      <c r="AM23" s="220"/>
      <c r="AN23" s="220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  <c r="BJ23" s="221"/>
      <c r="BK23" s="221"/>
      <c r="BL23" s="255"/>
      <c r="BM23" s="133"/>
      <c r="BN23" s="96"/>
      <c r="BO23" s="96"/>
      <c r="BP23" s="96"/>
      <c r="BQ23" s="96"/>
      <c r="BR23" s="96"/>
      <c r="BS23" s="96"/>
      <c r="BT23" s="96"/>
      <c r="BU23" s="96"/>
      <c r="BV23" s="96"/>
      <c r="BW23" s="96"/>
      <c r="BX23" s="96"/>
      <c r="BY23" s="96"/>
      <c r="BZ23" s="96"/>
      <c r="CA23" s="96"/>
      <c r="CB23" s="96"/>
      <c r="CC23" s="96"/>
      <c r="CD23" s="96"/>
      <c r="CE23" s="96"/>
      <c r="CF23" s="96"/>
      <c r="CG23" s="96"/>
      <c r="CH23" s="96"/>
      <c r="CI23" s="96"/>
      <c r="CJ23" s="96"/>
      <c r="CK23" s="96"/>
      <c r="CL23" s="96"/>
      <c r="CM23" s="96"/>
      <c r="CN23" s="96"/>
      <c r="CO23" s="96"/>
      <c r="CP23" s="96"/>
      <c r="CQ23" s="96"/>
      <c r="CR23" s="96"/>
      <c r="CS23" s="96"/>
      <c r="CT23" s="96"/>
      <c r="CU23" s="96"/>
      <c r="CV23" s="112"/>
    </row>
    <row r="24" spans="1:100" x14ac:dyDescent="0.2">
      <c r="A24" s="254"/>
      <c r="B24" s="221"/>
      <c r="C24" s="221"/>
      <c r="D24" s="221"/>
      <c r="E24" s="221"/>
      <c r="F24" s="221"/>
      <c r="G24" s="221"/>
      <c r="H24" s="220"/>
      <c r="I24" s="220"/>
      <c r="J24" s="220"/>
      <c r="K24" s="220"/>
      <c r="L24" s="220"/>
      <c r="M24" s="220"/>
      <c r="N24" s="220"/>
      <c r="O24" s="227"/>
      <c r="P24" s="227"/>
      <c r="Q24" s="227"/>
      <c r="R24" s="220"/>
      <c r="S24" s="240"/>
      <c r="T24" s="237"/>
      <c r="U24" s="231"/>
      <c r="V24" s="240"/>
      <c r="W24" s="235"/>
      <c r="X24" s="235"/>
      <c r="Y24" s="235"/>
      <c r="Z24" s="243"/>
      <c r="AA24" s="220"/>
      <c r="AB24" s="220"/>
      <c r="AC24" s="227"/>
      <c r="AD24" s="227"/>
      <c r="AE24" s="240"/>
      <c r="AF24" s="237"/>
      <c r="AG24" s="231"/>
      <c r="AH24" s="240"/>
      <c r="AI24" s="235"/>
      <c r="AJ24" s="235"/>
      <c r="AK24" s="235"/>
      <c r="AL24" s="243"/>
      <c r="AM24" s="220"/>
      <c r="AN24" s="220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1"/>
      <c r="BJ24" s="221"/>
      <c r="BK24" s="221"/>
      <c r="BL24" s="255"/>
      <c r="BM24" s="133"/>
      <c r="BN24" s="96"/>
      <c r="BO24" s="96"/>
      <c r="BP24" s="96"/>
      <c r="BQ24" s="96"/>
      <c r="BR24" s="96"/>
      <c r="BS24" s="96"/>
      <c r="BT24" s="96"/>
      <c r="BU24" s="96"/>
      <c r="BV24" s="96"/>
      <c r="BW24" s="96"/>
      <c r="BX24" s="96"/>
      <c r="BY24" s="96"/>
      <c r="BZ24" s="96"/>
      <c r="CA24" s="96"/>
      <c r="CB24" s="96"/>
      <c r="CC24" s="96"/>
      <c r="CD24" s="96"/>
      <c r="CE24" s="96"/>
      <c r="CF24" s="96"/>
      <c r="CG24" s="96"/>
      <c r="CH24" s="96"/>
      <c r="CI24" s="96"/>
      <c r="CJ24" s="96"/>
      <c r="CK24" s="96"/>
      <c r="CL24" s="96"/>
      <c r="CM24" s="96"/>
      <c r="CN24" s="96"/>
      <c r="CO24" s="96"/>
      <c r="CP24" s="96"/>
      <c r="CQ24" s="96"/>
      <c r="CR24" s="96"/>
      <c r="CS24" s="96"/>
      <c r="CT24" s="96"/>
      <c r="CU24" s="96"/>
      <c r="CV24" s="112"/>
    </row>
    <row r="25" spans="1:100" x14ac:dyDescent="0.2">
      <c r="A25" s="254"/>
      <c r="B25" s="221"/>
      <c r="C25" s="221"/>
      <c r="D25" s="221"/>
      <c r="E25" s="221"/>
      <c r="F25" s="221"/>
      <c r="G25" s="221"/>
      <c r="H25" s="221"/>
      <c r="I25" s="221"/>
      <c r="J25" s="220"/>
      <c r="K25" s="220"/>
      <c r="L25" s="220"/>
      <c r="M25" s="220"/>
      <c r="N25" s="220"/>
      <c r="O25" s="220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7"/>
      <c r="AC25" s="227"/>
      <c r="AD25" s="227"/>
      <c r="AE25" s="227"/>
      <c r="AF25" s="227"/>
      <c r="AG25" s="227"/>
      <c r="AH25" s="227"/>
      <c r="AI25" s="220"/>
      <c r="AJ25" s="220"/>
      <c r="AK25" s="220"/>
      <c r="AL25" s="220"/>
      <c r="AM25" s="220"/>
      <c r="AN25" s="220"/>
      <c r="AO25" s="221"/>
      <c r="AP25" s="221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1"/>
      <c r="BC25" s="221"/>
      <c r="BD25" s="221"/>
      <c r="BE25" s="221"/>
      <c r="BF25" s="221"/>
      <c r="BG25" s="221"/>
      <c r="BH25" s="221"/>
      <c r="BI25" s="221"/>
      <c r="BJ25" s="221"/>
      <c r="BK25" s="221"/>
      <c r="BL25" s="255"/>
      <c r="BM25" s="133"/>
      <c r="BN25" s="96"/>
      <c r="BO25" s="96"/>
      <c r="BP25" s="96"/>
      <c r="BQ25" s="96"/>
      <c r="BR25" s="96"/>
      <c r="BS25" s="96"/>
      <c r="BT25" s="96"/>
      <c r="BU25" s="96"/>
      <c r="BV25" s="96"/>
      <c r="BW25" s="96"/>
      <c r="BX25" s="96"/>
      <c r="BY25" s="96"/>
      <c r="BZ25" s="96"/>
      <c r="CA25" s="96"/>
      <c r="CB25" s="96"/>
      <c r="CC25" s="96"/>
      <c r="CD25" s="96"/>
      <c r="CE25" s="96"/>
      <c r="CF25" s="96"/>
      <c r="CG25" s="96"/>
      <c r="CH25" s="96"/>
      <c r="CI25" s="96"/>
      <c r="CJ25" s="96"/>
      <c r="CK25" s="96"/>
      <c r="CL25" s="96"/>
      <c r="CM25" s="96"/>
      <c r="CN25" s="96"/>
      <c r="CO25" s="96"/>
      <c r="CP25" s="96"/>
      <c r="CQ25" s="96"/>
      <c r="CR25" s="96"/>
      <c r="CS25" s="96"/>
      <c r="CT25" s="96"/>
      <c r="CU25" s="96"/>
      <c r="CV25" s="112"/>
    </row>
    <row r="26" spans="1:100" x14ac:dyDescent="0.2">
      <c r="A26" s="254"/>
      <c r="B26" s="221"/>
      <c r="C26" s="221"/>
      <c r="D26" s="221"/>
      <c r="E26" s="221"/>
      <c r="F26" s="221"/>
      <c r="G26" s="221"/>
      <c r="H26" s="221"/>
      <c r="I26" s="221"/>
      <c r="J26" s="221"/>
      <c r="K26" s="221"/>
      <c r="L26" s="220"/>
      <c r="M26" s="220"/>
      <c r="N26" s="220"/>
      <c r="O26" s="220"/>
      <c r="P26" s="220"/>
      <c r="Q26" s="227"/>
      <c r="R26" s="227"/>
      <c r="S26" s="227"/>
      <c r="T26" s="227"/>
      <c r="U26" s="227"/>
      <c r="V26" s="227"/>
      <c r="W26" s="227"/>
      <c r="X26" s="227"/>
      <c r="Y26" s="227"/>
      <c r="Z26" s="227"/>
      <c r="AA26" s="227"/>
      <c r="AB26" s="227"/>
      <c r="AC26" s="227"/>
      <c r="AD26" s="227"/>
      <c r="AE26" s="227"/>
      <c r="AF26" s="227"/>
      <c r="AG26" s="227"/>
      <c r="AH26" s="227"/>
      <c r="AI26" s="220"/>
      <c r="AJ26" s="220"/>
      <c r="AK26" s="220"/>
      <c r="AL26" s="220"/>
      <c r="AM26" s="220"/>
      <c r="AN26" s="220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  <c r="BD26" s="221"/>
      <c r="BE26" s="221"/>
      <c r="BF26" s="221"/>
      <c r="BG26" s="221"/>
      <c r="BH26" s="221"/>
      <c r="BI26" s="221"/>
      <c r="BJ26" s="221"/>
      <c r="BK26" s="221"/>
      <c r="BL26" s="255"/>
      <c r="BM26" s="133"/>
      <c r="BN26" s="96"/>
      <c r="BO26" s="96"/>
      <c r="BP26" s="96"/>
      <c r="BQ26" s="96"/>
      <c r="BR26" s="96"/>
      <c r="BS26" s="96"/>
      <c r="BT26" s="96"/>
      <c r="BU26" s="96"/>
      <c r="BV26" s="96"/>
      <c r="BW26" s="96"/>
      <c r="BX26" s="96"/>
      <c r="BY26" s="96"/>
      <c r="BZ26" s="96"/>
      <c r="CA26" s="96"/>
      <c r="CB26" s="96"/>
      <c r="CC26" s="96"/>
      <c r="CD26" s="96"/>
      <c r="CE26" s="96"/>
      <c r="CF26" s="96"/>
      <c r="CG26" s="96"/>
      <c r="CH26" s="96"/>
      <c r="CI26" s="96"/>
      <c r="CJ26" s="96"/>
      <c r="CK26" s="96"/>
      <c r="CL26" s="96"/>
      <c r="CM26" s="96"/>
      <c r="CN26" s="96"/>
      <c r="CO26" s="96"/>
      <c r="CP26" s="96"/>
      <c r="CQ26" s="96"/>
      <c r="CR26" s="96"/>
      <c r="CS26" s="96"/>
      <c r="CT26" s="96"/>
      <c r="CU26" s="96"/>
      <c r="CV26" s="112"/>
    </row>
    <row r="27" spans="1:100" x14ac:dyDescent="0.2">
      <c r="A27" s="254"/>
      <c r="B27" s="221"/>
      <c r="C27" s="221"/>
      <c r="D27" s="221"/>
      <c r="E27" s="221"/>
      <c r="F27" s="221"/>
      <c r="G27" s="221"/>
      <c r="H27" s="221"/>
      <c r="I27" s="221"/>
      <c r="J27" s="221"/>
      <c r="K27" s="221"/>
      <c r="L27" s="221"/>
      <c r="M27" s="221"/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1"/>
      <c r="BC27" s="221"/>
      <c r="BD27" s="221"/>
      <c r="BE27" s="221"/>
      <c r="BF27" s="221"/>
      <c r="BG27" s="221"/>
      <c r="BH27" s="221"/>
      <c r="BI27" s="221"/>
      <c r="BJ27" s="221"/>
      <c r="BK27" s="221"/>
      <c r="BL27" s="255"/>
      <c r="BM27" s="133"/>
      <c r="BN27" s="96"/>
      <c r="BO27" s="96"/>
      <c r="BP27" s="96"/>
      <c r="BQ27" s="96"/>
      <c r="BR27" s="96"/>
      <c r="BS27" s="96"/>
      <c r="BT27" s="96"/>
      <c r="BU27" s="96"/>
      <c r="BV27" s="96"/>
      <c r="BW27" s="96"/>
      <c r="BX27" s="96"/>
      <c r="BY27" s="96"/>
      <c r="BZ27" s="96"/>
      <c r="CA27" s="96"/>
      <c r="CB27" s="96"/>
      <c r="CC27" s="96"/>
      <c r="CD27" s="96"/>
      <c r="CE27" s="96"/>
      <c r="CF27" s="96"/>
      <c r="CG27" s="96"/>
      <c r="CH27" s="96"/>
      <c r="CI27" s="96"/>
      <c r="CJ27" s="96"/>
      <c r="CK27" s="96"/>
      <c r="CL27" s="96"/>
      <c r="CM27" s="96"/>
      <c r="CN27" s="96"/>
      <c r="CO27" s="96"/>
      <c r="CP27" s="96"/>
      <c r="CQ27" s="96"/>
      <c r="CR27" s="96"/>
      <c r="CS27" s="96"/>
      <c r="CT27" s="96"/>
      <c r="CU27" s="96"/>
      <c r="CV27" s="112"/>
    </row>
    <row r="28" spans="1:100" x14ac:dyDescent="0.2">
      <c r="A28" s="254"/>
      <c r="B28" s="221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1"/>
      <c r="BC28" s="221"/>
      <c r="BD28" s="221"/>
      <c r="BE28" s="221"/>
      <c r="BF28" s="221"/>
      <c r="BG28" s="221"/>
      <c r="BH28" s="221"/>
      <c r="BI28" s="221"/>
      <c r="BJ28" s="221"/>
      <c r="BK28" s="221"/>
      <c r="BL28" s="255"/>
      <c r="BM28" s="133"/>
      <c r="BN28" s="96"/>
      <c r="BO28" s="96"/>
      <c r="BP28" s="96"/>
      <c r="BQ28" s="96"/>
      <c r="BR28" s="96"/>
      <c r="BS28" s="96"/>
      <c r="BT28" s="96"/>
      <c r="BU28" s="96"/>
      <c r="BV28" s="96"/>
      <c r="BW28" s="96"/>
      <c r="BX28" s="96"/>
      <c r="BY28" s="96"/>
      <c r="BZ28" s="96"/>
      <c r="CA28" s="96"/>
      <c r="CB28" s="96"/>
      <c r="CC28" s="96"/>
      <c r="CD28" s="96"/>
      <c r="CE28" s="96"/>
      <c r="CF28" s="96"/>
      <c r="CG28" s="96"/>
      <c r="CH28" s="96"/>
      <c r="CI28" s="96"/>
      <c r="CJ28" s="96"/>
      <c r="CK28" s="96"/>
      <c r="CL28" s="96"/>
      <c r="CM28" s="96"/>
      <c r="CN28" s="96"/>
      <c r="CO28" s="96"/>
      <c r="CP28" s="96"/>
      <c r="CQ28" s="96"/>
      <c r="CR28" s="96"/>
      <c r="CS28" s="96"/>
      <c r="CT28" s="96"/>
      <c r="CU28" s="96"/>
      <c r="CV28" s="112"/>
    </row>
    <row r="29" spans="1:100" x14ac:dyDescent="0.2">
      <c r="A29" s="254"/>
      <c r="B29" s="221"/>
      <c r="C29" s="221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1"/>
      <c r="BC29" s="221"/>
      <c r="BD29" s="221"/>
      <c r="BE29" s="221"/>
      <c r="BF29" s="221"/>
      <c r="BG29" s="221"/>
      <c r="BH29" s="221"/>
      <c r="BI29" s="221"/>
      <c r="BJ29" s="221"/>
      <c r="BK29" s="221"/>
      <c r="BL29" s="255"/>
      <c r="BM29" s="133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112"/>
    </row>
    <row r="30" spans="1:100" x14ac:dyDescent="0.2">
      <c r="A30" s="254"/>
      <c r="B30" s="221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1"/>
      <c r="BC30" s="221"/>
      <c r="BD30" s="221"/>
      <c r="BE30" s="221"/>
      <c r="BF30" s="221"/>
      <c r="BG30" s="221"/>
      <c r="BH30" s="221"/>
      <c r="BI30" s="221"/>
      <c r="BJ30" s="221"/>
      <c r="BK30" s="221"/>
      <c r="BL30" s="255"/>
      <c r="BM30" s="133"/>
      <c r="BN30" s="96"/>
      <c r="BO30" s="96"/>
      <c r="BP30" s="96"/>
      <c r="BQ30" s="96"/>
      <c r="BR30" s="96"/>
      <c r="BS30" s="96"/>
      <c r="BT30" s="96"/>
      <c r="BU30" s="96"/>
      <c r="BV30" s="96"/>
      <c r="BW30" s="96"/>
      <c r="BX30" s="96"/>
      <c r="BY30" s="96"/>
      <c r="BZ30" s="96"/>
      <c r="CA30" s="96"/>
      <c r="CB30" s="96"/>
      <c r="CC30" s="96"/>
      <c r="CD30" s="96"/>
      <c r="CE30" s="96"/>
      <c r="CF30" s="96"/>
      <c r="CG30" s="96"/>
      <c r="CH30" s="96"/>
      <c r="CI30" s="96"/>
      <c r="CJ30" s="96"/>
      <c r="CK30" s="96"/>
      <c r="CL30" s="96"/>
      <c r="CM30" s="96"/>
      <c r="CN30" s="96"/>
      <c r="CO30" s="96"/>
      <c r="CP30" s="96"/>
      <c r="CQ30" s="96"/>
      <c r="CR30" s="96"/>
      <c r="CS30" s="96"/>
      <c r="CT30" s="96"/>
      <c r="CU30" s="96"/>
      <c r="CV30" s="112"/>
    </row>
    <row r="31" spans="1:100" x14ac:dyDescent="0.2">
      <c r="A31" s="254"/>
      <c r="B31" s="221"/>
      <c r="C31" s="221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21"/>
      <c r="BA31" s="221"/>
      <c r="BB31" s="221"/>
      <c r="BC31" s="221"/>
      <c r="BD31" s="221"/>
      <c r="BE31" s="221"/>
      <c r="BF31" s="221"/>
      <c r="BG31" s="221"/>
      <c r="BH31" s="221"/>
      <c r="BI31" s="221"/>
      <c r="BJ31" s="221"/>
      <c r="BK31" s="221"/>
      <c r="BL31" s="255"/>
      <c r="BM31" s="133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112"/>
    </row>
    <row r="32" spans="1:100" ht="13.5" thickBot="1" x14ac:dyDescent="0.25">
      <c r="A32" s="256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8"/>
      <c r="BM32" s="133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112"/>
    </row>
    <row r="33" spans="1:100" x14ac:dyDescent="0.2">
      <c r="A33" s="134"/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32"/>
      <c r="BE33" s="132"/>
      <c r="BF33" s="132"/>
      <c r="BG33" s="132"/>
      <c r="BH33" s="132"/>
      <c r="BI33" s="132"/>
      <c r="BJ33" s="132"/>
      <c r="BK33" s="132"/>
      <c r="BL33" s="132"/>
      <c r="BM33" s="133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112"/>
    </row>
    <row r="34" spans="1:100" hidden="1" x14ac:dyDescent="0.2"/>
    <row r="35" spans="1:100" hidden="1" x14ac:dyDescent="0.2"/>
    <row r="36" spans="1:100" hidden="1" x14ac:dyDescent="0.2"/>
    <row r="37" spans="1:100" hidden="1" x14ac:dyDescent="0.2"/>
    <row r="38" spans="1:100" hidden="1" x14ac:dyDescent="0.2"/>
    <row r="39" spans="1:100" hidden="1" x14ac:dyDescent="0.2"/>
    <row r="40" spans="1:100" hidden="1" x14ac:dyDescent="0.2"/>
    <row r="41" spans="1:100" hidden="1" x14ac:dyDescent="0.2"/>
    <row r="42" spans="1:100" hidden="1" x14ac:dyDescent="0.2"/>
    <row r="43" spans="1:100" hidden="1" x14ac:dyDescent="0.2"/>
    <row r="44" spans="1:100" hidden="1" x14ac:dyDescent="0.2"/>
    <row r="45" spans="1:100" hidden="1" x14ac:dyDescent="0.2"/>
    <row r="46" spans="1:100" hidden="1" x14ac:dyDescent="0.2"/>
    <row r="47" spans="1:100" hidden="1" x14ac:dyDescent="0.2"/>
    <row r="48" spans="1:100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</sheetData>
  <conditionalFormatting sqref="AQ19:AV19 BC19:BD19">
    <cfRule type="cellIs" dxfId="16" priority="16" operator="equal">
      <formula>1</formula>
    </cfRule>
  </conditionalFormatting>
  <conditionalFormatting sqref="AQ19">
    <cfRule type="cellIs" dxfId="15" priority="17" operator="equal">
      <formula>2</formula>
    </cfRule>
  </conditionalFormatting>
  <conditionalFormatting sqref="AQ24:BK24">
    <cfRule type="cellIs" dxfId="14" priority="14" operator="equal">
      <formula>1</formula>
    </cfRule>
  </conditionalFormatting>
  <conditionalFormatting sqref="AQ24">
    <cfRule type="cellIs" dxfId="13" priority="15" operator="equal">
      <formula>2</formula>
    </cfRule>
  </conditionalFormatting>
  <conditionalFormatting sqref="G8:H8 Q8:R8">
    <cfRule type="cellIs" dxfId="12" priority="12" operator="equal">
      <formula>1</formula>
    </cfRule>
  </conditionalFormatting>
  <conditionalFormatting sqref="G8:H8">
    <cfRule type="cellIs" dxfId="11" priority="13" operator="equal">
      <formula>2</formula>
    </cfRule>
  </conditionalFormatting>
  <conditionalFormatting sqref="G3:R3 AC3:AE3">
    <cfRule type="cellIs" dxfId="10" priority="10" operator="equal">
      <formula>1</formula>
    </cfRule>
  </conditionalFormatting>
  <conditionalFormatting sqref="G3:K3">
    <cfRule type="cellIs" dxfId="9" priority="11" operator="equal">
      <formula>2</formula>
    </cfRule>
  </conditionalFormatting>
  <conditionalFormatting sqref="R9">
    <cfRule type="cellIs" dxfId="8" priority="9" operator="equal">
      <formula>1</formula>
    </cfRule>
  </conditionalFormatting>
  <conditionalFormatting sqref="R10">
    <cfRule type="cellIs" dxfId="7" priority="8" operator="equal">
      <formula>1</formula>
    </cfRule>
  </conditionalFormatting>
  <conditionalFormatting sqref="Q10">
    <cfRule type="cellIs" dxfId="6" priority="7" operator="equal">
      <formula>1</formula>
    </cfRule>
  </conditionalFormatting>
  <conditionalFormatting sqref="AD24">
    <cfRule type="cellIs" dxfId="5" priority="5" operator="equal">
      <formula>1</formula>
    </cfRule>
  </conditionalFormatting>
  <conditionalFormatting sqref="AD24">
    <cfRule type="cellIs" dxfId="4" priority="6" operator="equal">
      <formula>2</formula>
    </cfRule>
  </conditionalFormatting>
  <conditionalFormatting sqref="BE19:BK19">
    <cfRule type="cellIs" dxfId="3" priority="4" operator="equal">
      <formula>1</formula>
    </cfRule>
  </conditionalFormatting>
  <conditionalFormatting sqref="AY17:AZ17">
    <cfRule type="cellIs" dxfId="2" priority="3" operator="equal">
      <formula>1</formula>
    </cfRule>
  </conditionalFormatting>
  <conditionalFormatting sqref="BA17:BB17">
    <cfRule type="cellIs" dxfId="1" priority="2" operator="equal">
      <formula>1</formula>
    </cfRule>
  </conditionalFormatting>
  <conditionalFormatting sqref="BC17:BD17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L32"/>
  <sheetViews>
    <sheetView workbookViewId="0">
      <selection activeCell="AM21" sqref="AM21"/>
    </sheetView>
  </sheetViews>
  <sheetFormatPr defaultRowHeight="12.75" x14ac:dyDescent="0.2"/>
  <cols>
    <col min="1" max="133" width="2.42578125" customWidth="1"/>
  </cols>
  <sheetData>
    <row r="1" spans="1:64" x14ac:dyDescent="0.2">
      <c r="A1" s="208" t="s">
        <v>781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9"/>
      <c r="AG1" s="15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56"/>
      <c r="AW1" s="15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25"/>
    </row>
    <row r="2" spans="1:64" x14ac:dyDescent="0.2">
      <c r="A2" s="210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2"/>
      <c r="AG2" s="151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52"/>
      <c r="AW2" s="151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6"/>
    </row>
    <row r="3" spans="1:64" x14ac:dyDescent="0.2">
      <c r="A3" s="210" t="s">
        <v>106</v>
      </c>
      <c r="B3" s="211"/>
      <c r="C3" s="164">
        <f>IF(D3&gt;0,D3,3)</f>
        <v>1</v>
      </c>
      <c r="D3" s="165">
        <f>IF(E3&gt;0,E3,IF(T4&gt;(Z4/28),3,0))</f>
        <v>1</v>
      </c>
      <c r="E3" s="165">
        <f>IF(F3&gt;0,F3,IF(T4&gt;(Z4/28)*2,3,0))</f>
        <v>1</v>
      </c>
      <c r="F3" s="165">
        <f>IF(G3&gt;0,G3,IF(T4&gt;(Z4/28)*3,2,0))</f>
        <v>1</v>
      </c>
      <c r="G3" s="165">
        <f>IF(H3&gt;0,H3,IF(T4&gt;(Z4/28)*4,2,0))</f>
        <v>1</v>
      </c>
      <c r="H3" s="165">
        <f>IF(I3&gt;0,I3,IF(T4&gt;(Z4/28)*5,2,0))</f>
        <v>1</v>
      </c>
      <c r="I3" s="165">
        <f>IF(J3&gt;0,J3,IF(T4&gt;(Z4/28)*6,2,0))</f>
        <v>1</v>
      </c>
      <c r="J3" s="165">
        <f>IF(K3&gt;0,K3,IF(T4&gt;(Z4/28)*7,2,0))</f>
        <v>1</v>
      </c>
      <c r="K3" s="165">
        <f>IF(L3&gt;0,L3,IF(T4&gt;(Z4/28)*8,2,0))</f>
        <v>1</v>
      </c>
      <c r="L3" s="165">
        <f>IF(T4&gt;(Z4/28)*9,1,0)</f>
        <v>1</v>
      </c>
      <c r="M3" s="165">
        <f>IF(T4&gt;(Z4/28)*10,1,0)</f>
        <v>1</v>
      </c>
      <c r="N3" s="165">
        <f>IF(T4&gt;(Z4/28)*11,1,0)</f>
        <v>1</v>
      </c>
      <c r="O3" s="165">
        <f>IF(T4&gt;(Z4/28)*12,1,0)</f>
        <v>1</v>
      </c>
      <c r="P3" s="165">
        <f>IF(T4&gt;(Z4/28)*13,1,0)</f>
        <v>1</v>
      </c>
      <c r="Q3" s="165">
        <f>IF(T4&gt;(Z4/28)*14,1,0)</f>
        <v>0</v>
      </c>
      <c r="R3" s="165">
        <f>IF(T4&gt;(Z4/28)*15,1,0)</f>
        <v>0</v>
      </c>
      <c r="S3" s="165">
        <f>IF(T4&gt;(Z4/28)*16,1,0)</f>
        <v>0</v>
      </c>
      <c r="T3" s="165">
        <f>IF(T4&gt;(Z4/28)*17,1,0)</f>
        <v>0</v>
      </c>
      <c r="U3" s="165">
        <f>IF(T4&gt;(Z4/28)*18,1,0)</f>
        <v>0</v>
      </c>
      <c r="V3" s="165">
        <f>IF(T4&gt;(Z4/28)*19,1,0)</f>
        <v>0</v>
      </c>
      <c r="W3" s="165">
        <f>IF(T4&gt;(Z4/28)*20,1,0)</f>
        <v>0</v>
      </c>
      <c r="X3" s="165">
        <f>IF(T4&gt;(Z4/28)*21,1,0)</f>
        <v>0</v>
      </c>
      <c r="Y3" s="165">
        <f>IF(T4&gt;(Z4/28)*22,1,0)</f>
        <v>0</v>
      </c>
      <c r="Z3" s="165">
        <f>IF(T4&gt;(Z4/28)*23,1,0)</f>
        <v>0</v>
      </c>
      <c r="AA3" s="165">
        <f>IF(T4&gt;(Z4/28)*24,1,0)</f>
        <v>0</v>
      </c>
      <c r="AB3" s="165">
        <f>IF(T4&gt;(Z4/28)*25,1,0)</f>
        <v>0</v>
      </c>
      <c r="AC3" s="165">
        <f>IF(T4&gt;(Z4/28)*26,1,0)</f>
        <v>0</v>
      </c>
      <c r="AD3" s="165">
        <f>IF(T4&gt;(Z4/28)*27,1,0)</f>
        <v>0</v>
      </c>
      <c r="AE3" s="166">
        <f>IF(T4=Z4,1,0)</f>
        <v>0</v>
      </c>
      <c r="AF3" s="167"/>
      <c r="AG3" s="151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52"/>
      <c r="AW3" s="151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6"/>
    </row>
    <row r="4" spans="1:64" x14ac:dyDescent="0.2">
      <c r="A4" s="169" t="s">
        <v>783</v>
      </c>
      <c r="B4" s="161" t="s">
        <v>101</v>
      </c>
      <c r="C4" s="161">
        <v>1</v>
      </c>
      <c r="D4" s="161">
        <v>2</v>
      </c>
      <c r="E4" s="161">
        <v>3</v>
      </c>
      <c r="F4" s="161">
        <v>4</v>
      </c>
      <c r="G4" s="161">
        <v>5</v>
      </c>
      <c r="H4" s="161">
        <v>6</v>
      </c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206">
        <v>50</v>
      </c>
      <c r="U4" s="206"/>
      <c r="V4" s="206"/>
      <c r="W4" s="206"/>
      <c r="X4" s="206"/>
      <c r="Y4" s="206"/>
      <c r="Z4" s="206">
        <v>100</v>
      </c>
      <c r="AA4" s="206"/>
      <c r="AB4" s="206"/>
      <c r="AC4" s="206"/>
      <c r="AD4" s="206"/>
      <c r="AE4" s="206"/>
      <c r="AF4" s="167"/>
      <c r="AG4" s="151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52"/>
      <c r="AW4" s="151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6"/>
    </row>
    <row r="5" spans="1:64" x14ac:dyDescent="0.2">
      <c r="A5" s="162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168"/>
      <c r="AG5" s="151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52"/>
      <c r="AW5" s="151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6"/>
    </row>
    <row r="6" spans="1:64" x14ac:dyDescent="0.2">
      <c r="A6" s="208" t="s">
        <v>781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9"/>
      <c r="AG6" s="151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52"/>
      <c r="AW6" s="151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6"/>
    </row>
    <row r="7" spans="1:64" x14ac:dyDescent="0.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2"/>
      <c r="AG7" s="151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52"/>
      <c r="AW7" s="151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6"/>
    </row>
    <row r="8" spans="1:64" x14ac:dyDescent="0.2">
      <c r="A8" s="210" t="s">
        <v>106</v>
      </c>
      <c r="B8" s="211"/>
      <c r="C8" s="164">
        <f>IF(D8&gt;0,D8,3)</f>
        <v>1</v>
      </c>
      <c r="D8" s="165">
        <f>IF(E8&gt;0,E8,IF(T9&gt;(Z9/28),3,0))</f>
        <v>1</v>
      </c>
      <c r="E8" s="165">
        <f>IF(F8&gt;0,F8,IF(T9&gt;(Z9/28)*2,3,0))</f>
        <v>1</v>
      </c>
      <c r="F8" s="165">
        <f>IF(G8&gt;0,G8,IF(T9&gt;(Z9/28)*3,2,0))</f>
        <v>1</v>
      </c>
      <c r="G8" s="165">
        <f>IF(H8&gt;0,H8,IF(T9&gt;(Z9/28)*4,2,0))</f>
        <v>1</v>
      </c>
      <c r="H8" s="165">
        <f>IF(I8&gt;0,I8,IF(T9&gt;(Z9/28)*5,2,0))</f>
        <v>1</v>
      </c>
      <c r="I8" s="165">
        <f>IF(J8&gt;0,J8,IF(T9&gt;(Z9/28)*6,2,0))</f>
        <v>1</v>
      </c>
      <c r="J8" s="165">
        <f>IF(K8&gt;0,K8,IF(T9&gt;(Z9/28)*7,2,0))</f>
        <v>1</v>
      </c>
      <c r="K8" s="165">
        <f>IF(L8&gt;0,L8,IF(T9&gt;(Z9/28)*8,2,0))</f>
        <v>1</v>
      </c>
      <c r="L8" s="165">
        <f>IF(T9&gt;(Z9/28)*9,1,0)</f>
        <v>1</v>
      </c>
      <c r="M8" s="165">
        <f>IF(T9&gt;(Z9/28)*10,1,0)</f>
        <v>1</v>
      </c>
      <c r="N8" s="165">
        <f>IF(T9&gt;(Z9/28)*11,1,0)</f>
        <v>1</v>
      </c>
      <c r="O8" s="165">
        <f>IF(T9&gt;(Z9/28)*12,1,0)</f>
        <v>1</v>
      </c>
      <c r="P8" s="165">
        <f>IF(T9&gt;(Z9/28)*13,1,0)</f>
        <v>1</v>
      </c>
      <c r="Q8" s="165">
        <f>IF(T9&gt;(Z9/28)*14,1,0)</f>
        <v>0</v>
      </c>
      <c r="R8" s="165">
        <f>IF(T9&gt;(Z9/28)*15,1,0)</f>
        <v>0</v>
      </c>
      <c r="S8" s="165">
        <f>IF(T9&gt;(Z9/28)*16,1,0)</f>
        <v>0</v>
      </c>
      <c r="T8" s="165">
        <f>IF(T9&gt;(Z9/28)*17,1,0)</f>
        <v>0</v>
      </c>
      <c r="U8" s="165">
        <f>IF(T9&gt;(Z9/28)*18,1,0)</f>
        <v>0</v>
      </c>
      <c r="V8" s="165">
        <f>IF(T9&gt;(Z9/28)*19,1,0)</f>
        <v>0</v>
      </c>
      <c r="W8" s="165">
        <f>IF(T9&gt;(Z9/28)*20,1,0)</f>
        <v>0</v>
      </c>
      <c r="X8" s="165">
        <f>IF(T9&gt;(Z9/28)*21,1,0)</f>
        <v>0</v>
      </c>
      <c r="Y8" s="165">
        <f>IF(T9&gt;(Z9/28)*22,1,0)</f>
        <v>0</v>
      </c>
      <c r="Z8" s="165">
        <f>IF(T9&gt;(Z9/28)*23,1,0)</f>
        <v>0</v>
      </c>
      <c r="AA8" s="165">
        <f>IF(T9&gt;(Z9/28)*24,1,0)</f>
        <v>0</v>
      </c>
      <c r="AB8" s="165">
        <f>IF(T9&gt;(Z9/28)*25,1,0)</f>
        <v>0</v>
      </c>
      <c r="AC8" s="165">
        <f>IF(T9&gt;(Z9/28)*26,1,0)</f>
        <v>0</v>
      </c>
      <c r="AD8" s="165">
        <f>IF(T9&gt;(Z9/28)*27,1,0)</f>
        <v>0</v>
      </c>
      <c r="AE8" s="166">
        <f>IF(T9=Z9,1,0)</f>
        <v>0</v>
      </c>
      <c r="AF8" s="167"/>
      <c r="AG8" s="151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52"/>
      <c r="AW8" s="151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6"/>
    </row>
    <row r="9" spans="1:64" x14ac:dyDescent="0.2">
      <c r="A9" s="160"/>
      <c r="B9" s="161"/>
      <c r="C9" s="161">
        <v>1</v>
      </c>
      <c r="D9" s="161">
        <v>2</v>
      </c>
      <c r="E9" s="161">
        <v>3</v>
      </c>
      <c r="F9" s="161">
        <v>4</v>
      </c>
      <c r="G9" s="161">
        <v>5</v>
      </c>
      <c r="H9" s="161">
        <v>6</v>
      </c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206">
        <v>50</v>
      </c>
      <c r="U9" s="206"/>
      <c r="V9" s="206"/>
      <c r="W9" s="206"/>
      <c r="X9" s="206"/>
      <c r="Y9" s="206"/>
      <c r="Z9" s="206">
        <v>100</v>
      </c>
      <c r="AA9" s="206"/>
      <c r="AB9" s="206"/>
      <c r="AC9" s="206"/>
      <c r="AD9" s="206"/>
      <c r="AE9" s="206"/>
      <c r="AF9" s="167"/>
      <c r="AG9" s="151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52"/>
      <c r="AW9" s="151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6"/>
    </row>
    <row r="10" spans="1:64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168"/>
      <c r="AG10" s="151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52"/>
      <c r="AW10" s="151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6"/>
    </row>
    <row r="11" spans="1:64" x14ac:dyDescent="0.2">
      <c r="A11" s="159"/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50"/>
      <c r="Q11" s="148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5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52"/>
      <c r="AW11" s="151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6"/>
    </row>
    <row r="12" spans="1:64" x14ac:dyDescent="0.2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52"/>
      <c r="Q12" s="151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52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52"/>
      <c r="AW12" s="151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6"/>
    </row>
    <row r="13" spans="1:64" x14ac:dyDescent="0.2">
      <c r="A13" s="119"/>
      <c r="B13" s="120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52"/>
      <c r="Q13" s="151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52"/>
      <c r="AG13" s="120"/>
      <c r="AH13" s="120"/>
      <c r="AI13" s="120"/>
      <c r="AJ13" s="120"/>
      <c r="AK13" s="120"/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52"/>
      <c r="AW13" s="151"/>
      <c r="AX13" s="120"/>
      <c r="AY13" s="120"/>
      <c r="AZ13" s="120"/>
      <c r="BA13" s="120"/>
      <c r="BB13" s="120"/>
      <c r="BC13" s="120"/>
      <c r="BD13" s="120"/>
      <c r="BE13" s="120"/>
      <c r="BF13" s="120"/>
      <c r="BG13" s="120"/>
      <c r="BH13" s="120"/>
      <c r="BI13" s="120"/>
      <c r="BJ13" s="120"/>
      <c r="BK13" s="120"/>
      <c r="BL13" s="126"/>
    </row>
    <row r="14" spans="1:64" x14ac:dyDescent="0.2">
      <c r="A14" s="119"/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52"/>
      <c r="Q14" s="151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52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52"/>
      <c r="AW14" s="151"/>
      <c r="AX14" s="120"/>
      <c r="AY14" s="120"/>
      <c r="AZ14" s="120"/>
      <c r="BA14" s="120"/>
      <c r="BB14" s="120"/>
      <c r="BC14" s="120"/>
      <c r="BD14" s="120"/>
      <c r="BE14" s="120"/>
      <c r="BF14" s="120"/>
      <c r="BG14" s="120"/>
      <c r="BH14" s="120"/>
      <c r="BI14" s="120"/>
      <c r="BJ14" s="120"/>
      <c r="BK14" s="120"/>
      <c r="BL14" s="126"/>
    </row>
    <row r="15" spans="1:64" x14ac:dyDescent="0.2">
      <c r="A15" s="119"/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52"/>
      <c r="Q15" s="151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52"/>
      <c r="AG15" s="120"/>
      <c r="AH15" s="120"/>
      <c r="AI15" s="120"/>
      <c r="AJ15" s="120"/>
      <c r="AK15" s="120"/>
      <c r="AL15" s="120"/>
      <c r="AM15" s="120"/>
      <c r="AN15" s="120"/>
      <c r="AO15" s="120"/>
      <c r="AP15" s="120"/>
      <c r="AQ15" s="120"/>
      <c r="AR15" s="120"/>
      <c r="AS15" s="120"/>
      <c r="AT15" s="120"/>
      <c r="AU15" s="120"/>
      <c r="AV15" s="152"/>
      <c r="AW15" s="151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I15" s="120"/>
      <c r="BJ15" s="120"/>
      <c r="BK15" s="120"/>
      <c r="BL15" s="126"/>
    </row>
    <row r="16" spans="1:64" x14ac:dyDescent="0.2">
      <c r="A16" s="119"/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52"/>
      <c r="Q16" s="151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52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52"/>
      <c r="AW16" s="151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6"/>
    </row>
    <row r="17" spans="1:64" x14ac:dyDescent="0.2">
      <c r="A17" s="119"/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52"/>
      <c r="Q17" s="151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208" t="str">
        <f>IF(AH20=Data!A6,Data!C6,IF(AH20=Data!A7,Data!C7,IF(AH20=Data!A8,Data!C7,IF(AH20=Data!A9,Data!C9,IF(AH20=Data!A10,Data!C10,IF(AH20=Data!A11,Data!C11,""))))))</f>
        <v>&lt;NAAM POKEMON 1&gt;</v>
      </c>
      <c r="AH17" s="206"/>
      <c r="AI17" s="206"/>
      <c r="AJ17" s="206"/>
      <c r="AK17" s="206"/>
      <c r="AL17" s="206"/>
      <c r="AM17" s="206"/>
      <c r="AN17" s="206"/>
      <c r="AO17" s="206"/>
      <c r="AP17" s="206"/>
      <c r="AQ17" s="206"/>
      <c r="AR17" s="206"/>
      <c r="AS17" s="206"/>
      <c r="AT17" s="206"/>
      <c r="AU17" s="206"/>
      <c r="AV17" s="206"/>
      <c r="AW17" s="206"/>
      <c r="AX17" s="206"/>
      <c r="AY17" s="206"/>
      <c r="AZ17" s="206"/>
      <c r="BA17" s="206"/>
      <c r="BB17" s="206"/>
      <c r="BC17" s="206"/>
      <c r="BD17" s="206"/>
      <c r="BE17" s="206"/>
      <c r="BF17" s="206"/>
      <c r="BG17" s="206"/>
      <c r="BH17" s="206"/>
      <c r="BI17" s="206"/>
      <c r="BJ17" s="206"/>
      <c r="BK17" s="206"/>
      <c r="BL17" s="209"/>
    </row>
    <row r="18" spans="1:64" x14ac:dyDescent="0.2">
      <c r="A18" s="119"/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52"/>
      <c r="Q18" s="151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210"/>
      <c r="AH18" s="211"/>
      <c r="AI18" s="211"/>
      <c r="AJ18" s="211"/>
      <c r="AK18" s="211"/>
      <c r="AL18" s="211"/>
      <c r="AM18" s="211"/>
      <c r="AN18" s="211"/>
      <c r="AO18" s="211"/>
      <c r="AP18" s="211"/>
      <c r="AQ18" s="211"/>
      <c r="AR18" s="211"/>
      <c r="AS18" s="211"/>
      <c r="AT18" s="211"/>
      <c r="AU18" s="211"/>
      <c r="AV18" s="211"/>
      <c r="AW18" s="211"/>
      <c r="AX18" s="211"/>
      <c r="AY18" s="211"/>
      <c r="AZ18" s="211"/>
      <c r="BA18" s="211"/>
      <c r="BB18" s="211"/>
      <c r="BC18" s="211"/>
      <c r="BD18" s="211"/>
      <c r="BE18" s="211"/>
      <c r="BF18" s="211"/>
      <c r="BG18" s="211"/>
      <c r="BH18" s="211"/>
      <c r="BI18" s="211"/>
      <c r="BJ18" s="211"/>
      <c r="BK18" s="211"/>
      <c r="BL18" s="212"/>
    </row>
    <row r="19" spans="1:64" x14ac:dyDescent="0.2">
      <c r="A19" s="119"/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52"/>
      <c r="Q19" s="151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210" t="s">
        <v>106</v>
      </c>
      <c r="AH19" s="211"/>
      <c r="AI19" s="164">
        <f>IF(AJ19&gt;0,AJ19,3)</f>
        <v>1</v>
      </c>
      <c r="AJ19" s="165">
        <f>IF(AK19&gt;0,AK19,IF(AZ20&gt;(BF20/28),3,0))</f>
        <v>1</v>
      </c>
      <c r="AK19" s="165">
        <f>IF(AL19&gt;0,AL19,IF(AZ20&gt;(BF20/28)*2,3,0))</f>
        <v>1</v>
      </c>
      <c r="AL19" s="165">
        <f>IF(AM19&gt;0,AM19,IF(AZ20&gt;(BF20/28)*3,2,0))</f>
        <v>1</v>
      </c>
      <c r="AM19" s="165">
        <f>IF(AN19&gt;0,AN19,IF(AZ20&gt;(BF20/28)*4,2,0))</f>
        <v>1</v>
      </c>
      <c r="AN19" s="165">
        <f>IF(AO19&gt;0,AO19,IF(AZ20&gt;(BF20/28)*5,2,0))</f>
        <v>1</v>
      </c>
      <c r="AO19" s="165">
        <f>IF(AP19&gt;0,AP19,IF(AZ20&gt;(BF20/28)*6,2,0))</f>
        <v>1</v>
      </c>
      <c r="AP19" s="165">
        <f>IF(AQ19&gt;0,AQ19,IF(AZ20&gt;(BF20/28)*7,2,0))</f>
        <v>1</v>
      </c>
      <c r="AQ19" s="165">
        <f>IF(AR19&gt;0,AR19,IF(AZ20&gt;(BF20/28)*8,2,0))</f>
        <v>1</v>
      </c>
      <c r="AR19" s="165">
        <f>IF(AZ20&gt;(BF20/28)*9,1,0)</f>
        <v>1</v>
      </c>
      <c r="AS19" s="165">
        <f>IF(AZ20&gt;(BF20/28)*10,1,0)</f>
        <v>1</v>
      </c>
      <c r="AT19" s="165">
        <f>IF(AZ20&gt;(BF20/28)*11,1,0)</f>
        <v>1</v>
      </c>
      <c r="AU19" s="165">
        <f>IF(AZ20&gt;(BF20/28)*12,1,0)</f>
        <v>1</v>
      </c>
      <c r="AV19" s="165">
        <f>IF(AZ20&gt;(BF20/28)*13,1,0)</f>
        <v>1</v>
      </c>
      <c r="AW19" s="165">
        <f>IF(AZ20&gt;(BF20/28)*14,1,0)</f>
        <v>0</v>
      </c>
      <c r="AX19" s="165">
        <f>IF(AZ20&gt;(BF20/28)*15,1,0)</f>
        <v>0</v>
      </c>
      <c r="AY19" s="165">
        <f>IF(AZ20&gt;(BF20/28)*16,1,0)</f>
        <v>0</v>
      </c>
      <c r="AZ19" s="165">
        <f>IF(AZ20&gt;(BF20/28)*17,1,0)</f>
        <v>0</v>
      </c>
      <c r="BA19" s="165">
        <f>IF(AZ20&gt;(BF20/28)*18,1,0)</f>
        <v>0</v>
      </c>
      <c r="BB19" s="165">
        <f>IF(AZ20&gt;(BF20/28)*19,1,0)</f>
        <v>0</v>
      </c>
      <c r="BC19" s="165">
        <f>IF(AZ20&gt;(BF20/28)*20,1,0)</f>
        <v>0</v>
      </c>
      <c r="BD19" s="165">
        <f>IF(AZ20&gt;(BF20/28)*21,1,0)</f>
        <v>0</v>
      </c>
      <c r="BE19" s="165">
        <f>IF(AZ20&gt;(BF20/28)*22,1,0)</f>
        <v>0</v>
      </c>
      <c r="BF19" s="165">
        <f>IF(AZ20&gt;(BF20/28)*23,1,0)</f>
        <v>0</v>
      </c>
      <c r="BG19" s="165">
        <f>IF(AZ20&gt;(BF20/28)*24,1,0)</f>
        <v>0</v>
      </c>
      <c r="BH19" s="165">
        <f>IF(AZ20&gt;(BF20/28)*25,1,0)</f>
        <v>0</v>
      </c>
      <c r="BI19" s="165">
        <f>IF(AZ20&gt;(BF20/28)*26,1,0)</f>
        <v>0</v>
      </c>
      <c r="BJ19" s="165">
        <f>IF(AZ20&gt;(BF20/28)*27,1,0)</f>
        <v>0</v>
      </c>
      <c r="BK19" s="166">
        <f>IF(AZ20=BF20,1,0)</f>
        <v>0</v>
      </c>
      <c r="BL19" s="167"/>
    </row>
    <row r="20" spans="1:64" x14ac:dyDescent="0.2">
      <c r="A20" s="119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52"/>
      <c r="Q20" s="151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60"/>
      <c r="AH20" s="161">
        <v>1</v>
      </c>
      <c r="AI20" s="174" t="str">
        <f>IF(AH20=Data!A6,IF(Data!D6=0,"X","O"),IF(Data!D6=0," X "," O "))</f>
        <v>O</v>
      </c>
      <c r="AJ20" s="174" t="str">
        <f>IF(AH20=Data!A7,IF(Data!D7=0,"X","O"),IF(Data!D7=0," X "," O "))</f>
        <v xml:space="preserve"> O </v>
      </c>
      <c r="AK20" s="174" t="str">
        <f>IF(AH20=Data!A8,IF(Data!D8=0,"X","O"),IF(Data!D8=0," X "," O "))</f>
        <v xml:space="preserve"> X </v>
      </c>
      <c r="AL20" s="174" t="str">
        <f>IF(AH20=Data!A9,IF(Data!D9=0,"X","O"),IF(Data!D9=0," X "," O "))</f>
        <v xml:space="preserve"> X </v>
      </c>
      <c r="AM20" s="174" t="str">
        <f>IF(AH20=Data!A10,IF(Data!D10=0,"X","O"),IF(Data!D10=0," X "," O "))</f>
        <v xml:space="preserve"> X </v>
      </c>
      <c r="AN20" s="174" t="str">
        <f>IF(AH20=Data!A11,IF(Data!D11=0,"X","O"),IF(Data!D11=0," X "," O "))</f>
        <v xml:space="preserve"> X </v>
      </c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206">
        <v>50</v>
      </c>
      <c r="BA20" s="206"/>
      <c r="BB20" s="206"/>
      <c r="BC20" s="206"/>
      <c r="BD20" s="206"/>
      <c r="BE20" s="206"/>
      <c r="BF20" s="206">
        <v>100</v>
      </c>
      <c r="BG20" s="206"/>
      <c r="BH20" s="206"/>
      <c r="BI20" s="206"/>
      <c r="BJ20" s="206"/>
      <c r="BK20" s="206"/>
      <c r="BL20" s="167"/>
    </row>
    <row r="21" spans="1:64" x14ac:dyDescent="0.2">
      <c r="A21" s="119"/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52"/>
      <c r="Q21" s="151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62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207"/>
      <c r="BA21" s="207"/>
      <c r="BB21" s="207"/>
      <c r="BC21" s="207"/>
      <c r="BD21" s="207"/>
      <c r="BE21" s="207"/>
      <c r="BF21" s="207"/>
      <c r="BG21" s="207"/>
      <c r="BH21" s="207"/>
      <c r="BI21" s="207"/>
      <c r="BJ21" s="207"/>
      <c r="BK21" s="207"/>
      <c r="BL21" s="168"/>
    </row>
    <row r="22" spans="1:64" x14ac:dyDescent="0.2">
      <c r="A22" s="119"/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52"/>
      <c r="Q22" s="151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52"/>
      <c r="AG22" s="208" t="str">
        <f>IF(AH25=Data!A6,Data!C6,IF(AH25=Data!A7,Data!C7,IF(AH25=Data!A8,Data!C7,IF(AH25=Data!A9,Data!C9,IF(AH25=Data!A10,Data!C10,IF(AH25=Data!A11,Data!C11,""))))))</f>
        <v>&lt;NAAM POKEMON 2&gt;</v>
      </c>
      <c r="AH22" s="206"/>
      <c r="AI22" s="206"/>
      <c r="AJ22" s="206"/>
      <c r="AK22" s="206"/>
      <c r="AL22" s="206"/>
      <c r="AM22" s="206"/>
      <c r="AN22" s="206"/>
      <c r="AO22" s="206"/>
      <c r="AP22" s="206"/>
      <c r="AQ22" s="206"/>
      <c r="AR22" s="206"/>
      <c r="AS22" s="206"/>
      <c r="AT22" s="206"/>
      <c r="AU22" s="206"/>
      <c r="AV22" s="206"/>
      <c r="AW22" s="206"/>
      <c r="AX22" s="206"/>
      <c r="AY22" s="206"/>
      <c r="AZ22" s="206"/>
      <c r="BA22" s="206"/>
      <c r="BB22" s="206"/>
      <c r="BC22" s="206"/>
      <c r="BD22" s="206"/>
      <c r="BE22" s="206"/>
      <c r="BF22" s="206"/>
      <c r="BG22" s="206"/>
      <c r="BH22" s="206"/>
      <c r="BI22" s="206"/>
      <c r="BJ22" s="206"/>
      <c r="BK22" s="206"/>
      <c r="BL22" s="209"/>
    </row>
    <row r="23" spans="1:64" x14ac:dyDescent="0.2">
      <c r="A23" s="119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52"/>
      <c r="Q23" s="151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52"/>
      <c r="AG23" s="210"/>
      <c r="AH23" s="211"/>
      <c r="AI23" s="211"/>
      <c r="AJ23" s="211"/>
      <c r="AK23" s="211"/>
      <c r="AL23" s="211"/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/>
      <c r="BG23" s="211"/>
      <c r="BH23" s="211"/>
      <c r="BI23" s="211"/>
      <c r="BJ23" s="211"/>
      <c r="BK23" s="211"/>
      <c r="BL23" s="212"/>
    </row>
    <row r="24" spans="1:64" x14ac:dyDescent="0.2">
      <c r="A24" s="119"/>
      <c r="B24" s="120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52"/>
      <c r="Q24" s="151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52"/>
      <c r="AG24" s="210" t="s">
        <v>106</v>
      </c>
      <c r="AH24" s="211"/>
      <c r="AI24" s="164">
        <f>IF(AJ24&gt;0,AJ24,3)</f>
        <v>1</v>
      </c>
      <c r="AJ24" s="165">
        <f>IF(AK24&gt;0,AK24,IF(AZ25&gt;(BF25/28),3,0))</f>
        <v>1</v>
      </c>
      <c r="AK24" s="165">
        <f>IF(AL24&gt;0,AL24,IF(AZ25&gt;(BF25/28)*2,3,0))</f>
        <v>1</v>
      </c>
      <c r="AL24" s="165">
        <f>IF(AM24&gt;0,AM24,IF(AZ25&gt;(BF25/28)*3,2,0))</f>
        <v>1</v>
      </c>
      <c r="AM24" s="165">
        <f>IF(AN24&gt;0,AN24,IF(AZ25&gt;(BF25/28)*4,2,0))</f>
        <v>1</v>
      </c>
      <c r="AN24" s="165">
        <f>IF(AO24&gt;0,AO24,IF(AZ25&gt;(BF25/28)*5,2,0))</f>
        <v>1</v>
      </c>
      <c r="AO24" s="165">
        <f>IF(AP24&gt;0,AP24,IF(AZ25&gt;(BF25/28)*6,2,0))</f>
        <v>1</v>
      </c>
      <c r="AP24" s="165">
        <f>IF(AQ24&gt;0,AQ24,IF(AZ25&gt;(BF25/28)*7,2,0))</f>
        <v>1</v>
      </c>
      <c r="AQ24" s="165">
        <f>IF(AR24&gt;0,AR24,IF(AZ25&gt;(BF25/28)*8,2,0))</f>
        <v>1</v>
      </c>
      <c r="AR24" s="165">
        <f>IF(AZ25&gt;(BF25/28)*9,1,0)</f>
        <v>1</v>
      </c>
      <c r="AS24" s="165">
        <f>IF(AZ25&gt;(BF25/28)*10,1,0)</f>
        <v>1</v>
      </c>
      <c r="AT24" s="165">
        <f>IF(AZ25&gt;(BF25/28)*11,1,0)</f>
        <v>1</v>
      </c>
      <c r="AU24" s="165">
        <f>IF(AZ25&gt;(BF25/28)*12,1,0)</f>
        <v>1</v>
      </c>
      <c r="AV24" s="165">
        <f>IF(AZ25&gt;(BF25/28)*13,1,0)</f>
        <v>1</v>
      </c>
      <c r="AW24" s="165">
        <f>IF(AZ25&gt;(BF25/28)*14,1,0)</f>
        <v>0</v>
      </c>
      <c r="AX24" s="165">
        <f>IF(AZ25&gt;(BF25/28)*15,1,0)</f>
        <v>0</v>
      </c>
      <c r="AY24" s="165">
        <f>IF(AZ25&gt;(BF25/28)*16,1,0)</f>
        <v>0</v>
      </c>
      <c r="AZ24" s="165">
        <f>IF(AZ25&gt;(BF25/28)*17,1,0)</f>
        <v>0</v>
      </c>
      <c r="BA24" s="165">
        <f>IF(AZ25&gt;(BF25/28)*18,1,0)</f>
        <v>0</v>
      </c>
      <c r="BB24" s="165">
        <f>IF(AZ25&gt;(BF25/28)*19,1,0)</f>
        <v>0</v>
      </c>
      <c r="BC24" s="165">
        <f>IF(AZ25&gt;(BF25/28)*20,1,0)</f>
        <v>0</v>
      </c>
      <c r="BD24" s="165">
        <f>IF(AZ25&gt;(BF25/28)*21,1,0)</f>
        <v>0</v>
      </c>
      <c r="BE24" s="165">
        <f>IF(AZ25&gt;(BF25/28)*22,1,0)</f>
        <v>0</v>
      </c>
      <c r="BF24" s="165">
        <f>IF(AZ25&gt;(BF25/28)*23,1,0)</f>
        <v>0</v>
      </c>
      <c r="BG24" s="165">
        <f>IF(AZ25&gt;(BF25/28)*24,1,0)</f>
        <v>0</v>
      </c>
      <c r="BH24" s="165">
        <f>IF(AZ25&gt;(BF25/28)*25,1,0)</f>
        <v>0</v>
      </c>
      <c r="BI24" s="165">
        <f>IF(AZ25&gt;(BF25/28)*26,1,0)</f>
        <v>0</v>
      </c>
      <c r="BJ24" s="165">
        <f>IF(AZ25&gt;(BF25/28)*27,1,0)</f>
        <v>0</v>
      </c>
      <c r="BK24" s="166">
        <f>IF(AZ25=BF25,1,0)</f>
        <v>0</v>
      </c>
      <c r="BL24" s="167"/>
    </row>
    <row r="25" spans="1:64" x14ac:dyDescent="0.2">
      <c r="A25" s="119"/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52"/>
      <c r="Q25" s="151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52"/>
      <c r="AG25" s="160"/>
      <c r="AH25" s="161">
        <v>3</v>
      </c>
      <c r="AI25" s="174" t="str">
        <f>IF(AH25=Data!A6,IF(Data!D6=0,"X","O"),IF(Data!D6=0," X "," O "))</f>
        <v xml:space="preserve"> O </v>
      </c>
      <c r="AJ25" s="174" t="str">
        <f>IF(AH25=Data!A7,IF(Data!D7=0,"X","O"),IF(Data!D7=0," X "," O "))</f>
        <v xml:space="preserve"> O </v>
      </c>
      <c r="AK25" s="174" t="str">
        <f>IF(AH25=Data!A8,IF(Data!D8=0,"X","O"),IF(Data!D8=0," X "," O "))</f>
        <v>X</v>
      </c>
      <c r="AL25" s="174" t="str">
        <f>IF(AH25=Data!A9,IF(Data!D9=0,"X","O"),IF(Data!D9=0," X "," O "))</f>
        <v xml:space="preserve"> X </v>
      </c>
      <c r="AM25" s="174" t="str">
        <f>IF(AH25=Data!A10,IF(Data!D10=0,"X","O"),IF(Data!D10=0," X "," O "))</f>
        <v xml:space="preserve"> X </v>
      </c>
      <c r="AN25" s="174" t="str">
        <f>IF(AH25=Data!A11,IF(Data!D11=0,"X","O"),IF(Data!D11=0," X "," O "))</f>
        <v xml:space="preserve"> X </v>
      </c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206">
        <v>50</v>
      </c>
      <c r="BA25" s="206"/>
      <c r="BB25" s="206"/>
      <c r="BC25" s="206"/>
      <c r="BD25" s="206"/>
      <c r="BE25" s="206"/>
      <c r="BF25" s="206">
        <v>100</v>
      </c>
      <c r="BG25" s="206"/>
      <c r="BH25" s="206"/>
      <c r="BI25" s="206"/>
      <c r="BJ25" s="206"/>
      <c r="BK25" s="206"/>
      <c r="BL25" s="167"/>
    </row>
    <row r="26" spans="1:64" x14ac:dyDescent="0.2">
      <c r="A26" s="158"/>
      <c r="B26" s="154"/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5"/>
      <c r="Q26" s="153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5"/>
      <c r="AG26" s="162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207"/>
      <c r="BA26" s="207"/>
      <c r="BB26" s="207"/>
      <c r="BC26" s="207"/>
      <c r="BD26" s="207"/>
      <c r="BE26" s="207"/>
      <c r="BF26" s="207"/>
      <c r="BG26" s="207"/>
      <c r="BH26" s="207"/>
      <c r="BI26" s="207"/>
      <c r="BJ26" s="207"/>
      <c r="BK26" s="207"/>
      <c r="BL26" s="168"/>
    </row>
    <row r="27" spans="1:64" x14ac:dyDescent="0.2">
      <c r="A27" s="119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  <c r="AZ27" s="120"/>
      <c r="BA27" s="120"/>
      <c r="BB27" s="120"/>
      <c r="BC27" s="120"/>
      <c r="BD27" s="120"/>
      <c r="BE27" s="120"/>
      <c r="BF27" s="120"/>
      <c r="BG27" s="120"/>
      <c r="BH27" s="120"/>
      <c r="BI27" s="120"/>
      <c r="BJ27" s="120"/>
      <c r="BK27" s="120"/>
      <c r="BL27" s="126"/>
    </row>
    <row r="28" spans="1:64" x14ac:dyDescent="0.2">
      <c r="A28" s="119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  <c r="AZ28" s="120"/>
      <c r="BA28" s="120"/>
      <c r="BB28" s="120"/>
      <c r="BC28" s="120"/>
      <c r="BD28" s="120"/>
      <c r="BE28" s="120"/>
      <c r="BF28" s="120"/>
      <c r="BG28" s="120"/>
      <c r="BH28" s="120"/>
      <c r="BI28" s="120"/>
      <c r="BJ28" s="120"/>
      <c r="BK28" s="120"/>
      <c r="BL28" s="126"/>
    </row>
    <row r="29" spans="1:64" x14ac:dyDescent="0.2">
      <c r="A29" s="119"/>
      <c r="B29" s="120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D29" s="120"/>
      <c r="BE29" s="120"/>
      <c r="BF29" s="120"/>
      <c r="BG29" s="120"/>
      <c r="BH29" s="120"/>
      <c r="BI29" s="120"/>
      <c r="BJ29" s="120"/>
      <c r="BK29" s="120"/>
      <c r="BL29" s="126"/>
    </row>
    <row r="30" spans="1:64" x14ac:dyDescent="0.2">
      <c r="A30" s="113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112"/>
    </row>
    <row r="31" spans="1:64" x14ac:dyDescent="0.2">
      <c r="A31" s="113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112"/>
    </row>
    <row r="32" spans="1:64" ht="13.5" thickBot="1" x14ac:dyDescent="0.25">
      <c r="A32" s="114"/>
      <c r="B32" s="115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6"/>
    </row>
  </sheetData>
  <mergeCells count="16">
    <mergeCell ref="BF25:BK26"/>
    <mergeCell ref="A1:AF2"/>
    <mergeCell ref="A3:B3"/>
    <mergeCell ref="T4:Y5"/>
    <mergeCell ref="Z4:AE5"/>
    <mergeCell ref="A6:AF7"/>
    <mergeCell ref="A8:B8"/>
    <mergeCell ref="T9:Y10"/>
    <mergeCell ref="Z9:AE10"/>
    <mergeCell ref="AG24:AH24"/>
    <mergeCell ref="AZ25:BE26"/>
    <mergeCell ref="AG17:BL18"/>
    <mergeCell ref="AG22:BL23"/>
    <mergeCell ref="AG19:AH19"/>
    <mergeCell ref="BF20:BK21"/>
    <mergeCell ref="AZ20:BE21"/>
  </mergeCells>
  <conditionalFormatting sqref="AI19:BK19">
    <cfRule type="cellIs" dxfId="411" priority="26" operator="equal">
      <formula>1</formula>
    </cfRule>
  </conditionalFormatting>
  <conditionalFormatting sqref="AI19:AK19">
    <cfRule type="cellIs" dxfId="410" priority="28" operator="equal">
      <formula>3</formula>
    </cfRule>
  </conditionalFormatting>
  <conditionalFormatting sqref="AI19:AQ19">
    <cfRule type="cellIs" dxfId="409" priority="27" operator="equal">
      <formula>2</formula>
    </cfRule>
  </conditionalFormatting>
  <conditionalFormatting sqref="AI24:BK24">
    <cfRule type="cellIs" dxfId="408" priority="19" operator="equal">
      <formula>1</formula>
    </cfRule>
  </conditionalFormatting>
  <conditionalFormatting sqref="AI24:AK24">
    <cfRule type="cellIs" dxfId="407" priority="21" operator="equal">
      <formula>3</formula>
    </cfRule>
  </conditionalFormatting>
  <conditionalFormatting sqref="AI24:AQ24">
    <cfRule type="cellIs" dxfId="406" priority="20" operator="equal">
      <formula>2</formula>
    </cfRule>
  </conditionalFormatting>
  <conditionalFormatting sqref="C8:AE8">
    <cfRule type="cellIs" dxfId="405" priority="16" operator="equal">
      <formula>1</formula>
    </cfRule>
  </conditionalFormatting>
  <conditionalFormatting sqref="C8:E8">
    <cfRule type="cellIs" dxfId="404" priority="18" operator="equal">
      <formula>3</formula>
    </cfRule>
  </conditionalFormatting>
  <conditionalFormatting sqref="C8:K8">
    <cfRule type="cellIs" dxfId="403" priority="17" operator="equal">
      <formula>2</formula>
    </cfRule>
  </conditionalFormatting>
  <conditionalFormatting sqref="C3:AE3">
    <cfRule type="cellIs" dxfId="402" priority="13" operator="equal">
      <formula>1</formula>
    </cfRule>
  </conditionalFormatting>
  <conditionalFormatting sqref="C3:E3">
    <cfRule type="cellIs" dxfId="401" priority="15" operator="equal">
      <formula>3</formula>
    </cfRule>
  </conditionalFormatting>
  <conditionalFormatting sqref="C3:K3">
    <cfRule type="cellIs" dxfId="400" priority="14" operator="equal">
      <formula>2</formula>
    </cfRule>
  </conditionalFormatting>
  <conditionalFormatting sqref="AI20:AN20">
    <cfRule type="cellIs" dxfId="399" priority="9" operator="equal">
      <formula>" X "</formula>
    </cfRule>
    <cfRule type="cellIs" dxfId="398" priority="10" operator="equal">
      <formula>"X"</formula>
    </cfRule>
    <cfRule type="cellIs" dxfId="397" priority="11" operator="equal">
      <formula>" O "</formula>
    </cfRule>
    <cfRule type="cellIs" dxfId="396" priority="12" operator="equal">
      <formula>"O"</formula>
    </cfRule>
  </conditionalFormatting>
  <conditionalFormatting sqref="AI25:AN25">
    <cfRule type="cellIs" dxfId="395" priority="1" operator="equal">
      <formula>" X "</formula>
    </cfRule>
    <cfRule type="cellIs" dxfId="394" priority="2" operator="equal">
      <formula>"X"</formula>
    </cfRule>
    <cfRule type="cellIs" dxfId="393" priority="3" operator="equal">
      <formula>" O "</formula>
    </cfRule>
    <cfRule type="cellIs" dxfId="392" priority="4" operator="equal">
      <formula>"O"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G56"/>
  <sheetViews>
    <sheetView workbookViewId="0">
      <selection activeCell="H18" sqref="H18"/>
    </sheetView>
  </sheetViews>
  <sheetFormatPr defaultRowHeight="12.75" x14ac:dyDescent="0.2"/>
  <cols>
    <col min="1" max="1" width="2.42578125" customWidth="1"/>
    <col min="2" max="2" width="20.7109375" bestFit="1" customWidth="1"/>
    <col min="3" max="4" width="2.42578125" customWidth="1"/>
    <col min="5" max="5" width="28.42578125" bestFit="1" customWidth="1"/>
    <col min="6" max="6" width="2.42578125" customWidth="1"/>
    <col min="7" max="7" width="21.7109375" bestFit="1" customWidth="1"/>
    <col min="8" max="8" width="2.42578125" customWidth="1"/>
    <col min="9" max="9" width="30.42578125" bestFit="1" customWidth="1"/>
    <col min="10" max="22" width="2.42578125" customWidth="1"/>
    <col min="23" max="23" width="4.7109375" bestFit="1" customWidth="1"/>
    <col min="24" max="24" width="4.140625" bestFit="1" customWidth="1"/>
    <col min="25" max="25" width="4.7109375" bestFit="1" customWidth="1"/>
    <col min="26" max="26" width="4.140625" bestFit="1" customWidth="1"/>
    <col min="27" max="27" width="4.7109375" bestFit="1" customWidth="1"/>
    <col min="28" max="33" width="4.140625" bestFit="1" customWidth="1"/>
    <col min="34" max="88" width="2.42578125" customWidth="1"/>
  </cols>
  <sheetData>
    <row r="1" spans="1:33" x14ac:dyDescent="0.2">
      <c r="A1" s="1"/>
      <c r="B1" s="2" t="s">
        <v>0</v>
      </c>
      <c r="C1" s="3"/>
      <c r="D1" s="97"/>
      <c r="E1" s="3" t="s">
        <v>88</v>
      </c>
      <c r="F1" s="3"/>
      <c r="G1" s="127" t="s">
        <v>60</v>
      </c>
      <c r="H1" s="74"/>
      <c r="I1" s="91" t="s">
        <v>87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33" x14ac:dyDescent="0.2">
      <c r="A2" s="4"/>
      <c r="B2" s="3" t="s">
        <v>1</v>
      </c>
      <c r="C2" s="3"/>
      <c r="D2" s="98"/>
      <c r="E2" s="3" t="s">
        <v>89</v>
      </c>
      <c r="F2" s="3"/>
      <c r="G2" s="127"/>
      <c r="H2" s="68"/>
      <c r="I2" s="95" t="s">
        <v>70</v>
      </c>
      <c r="J2" s="3"/>
      <c r="K2" s="3"/>
      <c r="L2" s="3"/>
      <c r="M2" s="3"/>
      <c r="N2" s="213" t="s">
        <v>8</v>
      </c>
      <c r="O2" s="214"/>
      <c r="P2" s="214"/>
      <c r="Q2" s="214"/>
      <c r="R2" s="214"/>
      <c r="S2" s="214"/>
      <c r="T2" s="214"/>
      <c r="U2" s="214"/>
      <c r="V2" s="3"/>
      <c r="W2" s="129" t="str">
        <f t="shared" ref="W2:AA6" si="0">CONCATENATE(LEFT(X2,2),".",RIGHT(X2,1)-1)</f>
        <v>-5.-1</v>
      </c>
      <c r="X2" s="129" t="str">
        <f t="shared" si="0"/>
        <v>-5.0</v>
      </c>
      <c r="Y2" s="129" t="str">
        <f t="shared" si="0"/>
        <v>-5.-1</v>
      </c>
      <c r="Z2" s="129" t="str">
        <f t="shared" si="0"/>
        <v>-5.0</v>
      </c>
      <c r="AA2" s="129" t="str">
        <f t="shared" si="0"/>
        <v>-5.-1</v>
      </c>
      <c r="AB2" s="129" t="str">
        <f>CONCATENATE(LEFT(AB3,2)-1,".",RIGHT(AB3,1))</f>
        <v>-5.0</v>
      </c>
      <c r="AC2" s="129" t="str">
        <f t="shared" ref="AC2:AG6" si="1">CONCATENATE(LEFT(AB2,2),".",RIGHT(AB2,1)+1)</f>
        <v>-5.1</v>
      </c>
      <c r="AD2" s="129" t="str">
        <f t="shared" si="1"/>
        <v>-5.2</v>
      </c>
      <c r="AE2" s="129" t="str">
        <f t="shared" si="1"/>
        <v>-5.3</v>
      </c>
      <c r="AF2" s="129" t="str">
        <f t="shared" si="1"/>
        <v>-5.4</v>
      </c>
      <c r="AG2" s="129" t="str">
        <f t="shared" si="1"/>
        <v>-5.5</v>
      </c>
    </row>
    <row r="3" spans="1:33" x14ac:dyDescent="0.2">
      <c r="A3" s="5"/>
      <c r="B3" s="3" t="s">
        <v>2</v>
      </c>
      <c r="C3" s="3"/>
      <c r="D3" s="99"/>
      <c r="E3" s="3" t="s">
        <v>90</v>
      </c>
      <c r="F3" s="3"/>
      <c r="G3" s="127" t="s">
        <v>59</v>
      </c>
      <c r="H3" s="72"/>
      <c r="I3" s="91" t="s">
        <v>71</v>
      </c>
      <c r="J3" s="3"/>
      <c r="K3" s="3"/>
      <c r="L3" s="3"/>
      <c r="M3" s="3"/>
      <c r="N3" s="215" t="s">
        <v>10</v>
      </c>
      <c r="O3" s="216"/>
      <c r="P3" s="216"/>
      <c r="Q3" s="215" t="s">
        <v>11</v>
      </c>
      <c r="R3" s="216"/>
      <c r="S3" s="216"/>
      <c r="T3" s="216"/>
      <c r="U3" s="216"/>
      <c r="V3" s="3"/>
      <c r="W3" s="129" t="str">
        <f t="shared" si="0"/>
        <v>-4.-1</v>
      </c>
      <c r="X3" s="129" t="str">
        <f t="shared" si="0"/>
        <v>-4.0</v>
      </c>
      <c r="Y3" s="129" t="str">
        <f t="shared" si="0"/>
        <v>-4.-1</v>
      </c>
      <c r="Z3" s="129" t="str">
        <f t="shared" si="0"/>
        <v>-4.0</v>
      </c>
      <c r="AA3" s="129" t="str">
        <f t="shared" si="0"/>
        <v>-4.-1</v>
      </c>
      <c r="AB3" s="129" t="str">
        <f>CONCATENATE(LEFT(AB4,2)-1,".",RIGHT(AB4,1))</f>
        <v>-4.0</v>
      </c>
      <c r="AC3" s="129" t="str">
        <f t="shared" si="1"/>
        <v>-4.1</v>
      </c>
      <c r="AD3" s="129" t="str">
        <f t="shared" si="1"/>
        <v>-4.2</v>
      </c>
      <c r="AE3" s="129" t="str">
        <f t="shared" si="1"/>
        <v>-4.3</v>
      </c>
      <c r="AF3" s="129" t="str">
        <f t="shared" si="1"/>
        <v>-4.4</v>
      </c>
      <c r="AG3" s="129" t="str">
        <f t="shared" si="1"/>
        <v>-4.5</v>
      </c>
    </row>
    <row r="4" spans="1:33" ht="13.5" thickBot="1" x14ac:dyDescent="0.25">
      <c r="A4" s="7"/>
      <c r="B4" s="2" t="s">
        <v>3</v>
      </c>
      <c r="C4" s="3"/>
      <c r="D4" s="100"/>
      <c r="E4" s="3" t="s">
        <v>91</v>
      </c>
      <c r="F4" s="3"/>
      <c r="G4" s="127" t="s">
        <v>61</v>
      </c>
      <c r="H4" s="71"/>
      <c r="I4" s="91" t="s">
        <v>72</v>
      </c>
      <c r="J4" s="3"/>
      <c r="K4" s="3"/>
      <c r="L4" s="3"/>
      <c r="M4" s="3"/>
      <c r="N4" s="123" t="s">
        <v>10</v>
      </c>
      <c r="O4" s="14"/>
      <c r="P4" s="15"/>
      <c r="Q4" s="3"/>
      <c r="R4" s="3"/>
      <c r="S4" s="3"/>
      <c r="T4" s="3"/>
      <c r="U4" s="16"/>
      <c r="V4" s="3"/>
      <c r="W4" s="129" t="str">
        <f t="shared" si="0"/>
        <v>-3.-1</v>
      </c>
      <c r="X4" s="129" t="str">
        <f t="shared" si="0"/>
        <v>-3.0</v>
      </c>
      <c r="Y4" s="129" t="str">
        <f t="shared" si="0"/>
        <v>-3.-1</v>
      </c>
      <c r="Z4" s="129" t="str">
        <f t="shared" si="0"/>
        <v>-3.0</v>
      </c>
      <c r="AA4" s="129" t="str">
        <f t="shared" si="0"/>
        <v>-3.-1</v>
      </c>
      <c r="AB4" s="129" t="str">
        <f>CONCATENATE(LEFT(AB5,2)-1,".",RIGHT(AB5,1))</f>
        <v>-3.0</v>
      </c>
      <c r="AC4" s="129" t="str">
        <f t="shared" si="1"/>
        <v>-3.1</v>
      </c>
      <c r="AD4" s="129" t="str">
        <f t="shared" si="1"/>
        <v>-3.2</v>
      </c>
      <c r="AE4" s="129" t="str">
        <f t="shared" si="1"/>
        <v>-3.3</v>
      </c>
      <c r="AF4" s="129" t="str">
        <f t="shared" si="1"/>
        <v>-3.4</v>
      </c>
      <c r="AG4" s="129" t="str">
        <f t="shared" si="1"/>
        <v>-3.5</v>
      </c>
    </row>
    <row r="5" spans="1:33" ht="13.5" thickTop="1" x14ac:dyDescent="0.2">
      <c r="A5" s="8"/>
      <c r="B5" s="3" t="s">
        <v>4</v>
      </c>
      <c r="C5" s="3"/>
      <c r="D5" s="101"/>
      <c r="E5" s="3" t="s">
        <v>92</v>
      </c>
      <c r="F5" s="3"/>
      <c r="G5" s="127" t="s">
        <v>62</v>
      </c>
      <c r="H5" s="69"/>
      <c r="I5" s="91" t="s">
        <v>73</v>
      </c>
      <c r="J5" s="3"/>
      <c r="K5" s="3"/>
      <c r="L5" s="3"/>
      <c r="M5" s="3"/>
      <c r="N5" s="9"/>
      <c r="O5" s="18"/>
      <c r="P5" s="3"/>
      <c r="Q5" s="19"/>
      <c r="R5" s="20"/>
      <c r="S5" s="21"/>
      <c r="T5" s="22"/>
      <c r="U5" s="23"/>
      <c r="V5" s="3"/>
      <c r="W5" s="129" t="str">
        <f t="shared" si="0"/>
        <v>-2.-1</v>
      </c>
      <c r="X5" s="129" t="str">
        <f t="shared" si="0"/>
        <v>-2.0</v>
      </c>
      <c r="Y5" s="129" t="str">
        <f t="shared" si="0"/>
        <v>-2.-1</v>
      </c>
      <c r="Z5" s="129" t="str">
        <f t="shared" si="0"/>
        <v>-2.0</v>
      </c>
      <c r="AA5" s="129" t="str">
        <f t="shared" si="0"/>
        <v>-2.-1</v>
      </c>
      <c r="AB5" s="129" t="str">
        <f>CONCATENATE(LEFT(AB6,2)-1,".",RIGHT(AB6,1))</f>
        <v>-2.0</v>
      </c>
      <c r="AC5" s="129" t="str">
        <f t="shared" si="1"/>
        <v>-2.1</v>
      </c>
      <c r="AD5" s="129" t="str">
        <f t="shared" si="1"/>
        <v>-2.2</v>
      </c>
      <c r="AE5" s="129" t="str">
        <f t="shared" si="1"/>
        <v>-2.3</v>
      </c>
      <c r="AF5" s="129" t="str">
        <f t="shared" si="1"/>
        <v>-2.4</v>
      </c>
      <c r="AG5" s="129" t="str">
        <f t="shared" si="1"/>
        <v>-2.5</v>
      </c>
    </row>
    <row r="6" spans="1:33" x14ac:dyDescent="0.2">
      <c r="A6" s="6"/>
      <c r="B6" s="3" t="s">
        <v>5</v>
      </c>
      <c r="C6" s="9"/>
      <c r="D6" s="102"/>
      <c r="E6" s="9" t="s">
        <v>93</v>
      </c>
      <c r="F6" s="9"/>
      <c r="G6" s="128" t="s">
        <v>63</v>
      </c>
      <c r="H6" s="75"/>
      <c r="I6" s="90" t="s">
        <v>74</v>
      </c>
      <c r="J6" s="92"/>
      <c r="K6" s="94"/>
      <c r="L6" s="93"/>
      <c r="M6" s="124"/>
      <c r="N6" s="3"/>
      <c r="O6" s="3"/>
      <c r="P6" s="3"/>
      <c r="Q6" s="3"/>
      <c r="R6" s="3"/>
      <c r="S6" s="3"/>
      <c r="T6" s="3"/>
      <c r="U6" s="3"/>
      <c r="V6" s="3"/>
      <c r="W6" s="129" t="str">
        <f t="shared" si="0"/>
        <v>-1.-1</v>
      </c>
      <c r="X6" s="129" t="str">
        <f t="shared" si="0"/>
        <v>-1.0</v>
      </c>
      <c r="Y6" s="129" t="str">
        <f t="shared" si="0"/>
        <v>-1.-1</v>
      </c>
      <c r="Z6" s="129" t="str">
        <f t="shared" si="0"/>
        <v>-1.0</v>
      </c>
      <c r="AA6" s="129" t="str">
        <f t="shared" si="0"/>
        <v>-1.-1</v>
      </c>
      <c r="AB6" s="129" t="str">
        <f>CONCATENATE(LEFT(AB7,1)-1,".",RIGHT(AB7,1))</f>
        <v>-1.0</v>
      </c>
      <c r="AC6" s="129" t="str">
        <f t="shared" si="1"/>
        <v>-1.1</v>
      </c>
      <c r="AD6" s="129" t="str">
        <f t="shared" si="1"/>
        <v>-1.2</v>
      </c>
      <c r="AE6" s="129" t="str">
        <f t="shared" si="1"/>
        <v>-1.3</v>
      </c>
      <c r="AF6" s="129" t="str">
        <f t="shared" si="1"/>
        <v>-1.4</v>
      </c>
      <c r="AG6" s="129" t="str">
        <f t="shared" si="1"/>
        <v>-1.5</v>
      </c>
    </row>
    <row r="7" spans="1:33" x14ac:dyDescent="0.2">
      <c r="A7" s="10"/>
      <c r="B7" s="3" t="s">
        <v>6</v>
      </c>
      <c r="C7" s="9"/>
      <c r="D7" s="103"/>
      <c r="E7" s="9" t="s">
        <v>94</v>
      </c>
      <c r="F7" s="9"/>
      <c r="G7" s="128" t="s">
        <v>69</v>
      </c>
      <c r="H7" s="76"/>
      <c r="I7" s="9" t="s">
        <v>75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129" t="str">
        <f t="shared" ref="W7:AA12" si="2">CONCATENATE(LEFT(X7,1),".",RIGHT(X7,1)-1)</f>
        <v>0.-1</v>
      </c>
      <c r="X7" s="129" t="str">
        <f t="shared" si="2"/>
        <v>0.0</v>
      </c>
      <c r="Y7" s="129" t="str">
        <f t="shared" si="2"/>
        <v>0.-1</v>
      </c>
      <c r="Z7" s="129" t="str">
        <f t="shared" si="2"/>
        <v>0.0</v>
      </c>
      <c r="AA7" s="129" t="str">
        <f t="shared" si="2"/>
        <v>0.-1</v>
      </c>
      <c r="AB7" s="130" t="s">
        <v>102</v>
      </c>
      <c r="AC7" s="129" t="str">
        <f t="shared" ref="AC7:AG12" si="3">CONCATENATE(LEFT(AB7,1),".",RIGHT(AB7,1)+1)</f>
        <v>0.1</v>
      </c>
      <c r="AD7" s="129" t="str">
        <f t="shared" si="3"/>
        <v>0.2</v>
      </c>
      <c r="AE7" s="129" t="str">
        <f t="shared" si="3"/>
        <v>0.3</v>
      </c>
      <c r="AF7" s="129" t="str">
        <f t="shared" si="3"/>
        <v>0.4</v>
      </c>
      <c r="AG7" s="129" t="str">
        <f t="shared" si="3"/>
        <v>0.5</v>
      </c>
    </row>
    <row r="8" spans="1:33" x14ac:dyDescent="0.2">
      <c r="A8" s="11"/>
      <c r="B8" s="3" t="s">
        <v>7</v>
      </c>
      <c r="C8" s="9"/>
      <c r="D8" s="104"/>
      <c r="E8" s="9" t="s">
        <v>95</v>
      </c>
      <c r="F8" s="9"/>
      <c r="G8" s="128" t="s">
        <v>69</v>
      </c>
      <c r="H8" s="77"/>
      <c r="I8" s="9" t="s">
        <v>76</v>
      </c>
      <c r="J8" s="9"/>
      <c r="K8" s="9"/>
      <c r="L8" s="9"/>
      <c r="M8" s="9"/>
      <c r="N8" s="9"/>
      <c r="O8" s="9"/>
      <c r="P8" s="3"/>
      <c r="Q8" s="3"/>
      <c r="R8" s="3"/>
      <c r="S8" s="3"/>
      <c r="T8" s="3"/>
      <c r="U8" s="3"/>
      <c r="V8" s="3"/>
      <c r="W8" s="129" t="str">
        <f t="shared" si="2"/>
        <v>1.-1</v>
      </c>
      <c r="X8" s="129" t="str">
        <f t="shared" si="2"/>
        <v>1.0</v>
      </c>
      <c r="Y8" s="129" t="str">
        <f t="shared" si="2"/>
        <v>1.-1</v>
      </c>
      <c r="Z8" s="129" t="str">
        <f t="shared" si="2"/>
        <v>1.0</v>
      </c>
      <c r="AA8" s="129" t="str">
        <f t="shared" si="2"/>
        <v>1.-1</v>
      </c>
      <c r="AB8" s="129" t="str">
        <f>CONCATENATE(LEFT(AB7,1)+1,".",RIGHT(AB7,1))</f>
        <v>1.0</v>
      </c>
      <c r="AC8" s="129" t="str">
        <f t="shared" si="3"/>
        <v>1.1</v>
      </c>
      <c r="AD8" s="129" t="str">
        <f t="shared" si="3"/>
        <v>1.2</v>
      </c>
      <c r="AE8" s="129" t="str">
        <f t="shared" si="3"/>
        <v>1.3</v>
      </c>
      <c r="AF8" s="129" t="str">
        <f t="shared" si="3"/>
        <v>1.4</v>
      </c>
      <c r="AG8" s="129" t="str">
        <f t="shared" si="3"/>
        <v>1.5</v>
      </c>
    </row>
    <row r="9" spans="1:33" x14ac:dyDescent="0.2">
      <c r="A9" s="12"/>
      <c r="B9" s="3" t="s">
        <v>9</v>
      </c>
      <c r="C9" s="9"/>
      <c r="D9" s="105"/>
      <c r="E9" s="9" t="s">
        <v>96</v>
      </c>
      <c r="F9" s="9"/>
      <c r="G9" s="128"/>
      <c r="H9" s="78"/>
      <c r="I9" s="9" t="s">
        <v>77</v>
      </c>
      <c r="J9" s="9"/>
      <c r="K9" s="9"/>
      <c r="L9" s="9"/>
      <c r="M9" s="9"/>
      <c r="N9" s="9"/>
      <c r="O9" s="9"/>
      <c r="P9" s="3"/>
      <c r="Q9" s="3"/>
      <c r="R9" s="3"/>
      <c r="S9" s="3"/>
      <c r="T9" s="3"/>
      <c r="U9" s="3"/>
      <c r="V9" s="3"/>
      <c r="W9" s="129" t="str">
        <f t="shared" si="2"/>
        <v>2.-1</v>
      </c>
      <c r="X9" s="129" t="str">
        <f t="shared" si="2"/>
        <v>2.0</v>
      </c>
      <c r="Y9" s="129" t="str">
        <f t="shared" si="2"/>
        <v>2.-1</v>
      </c>
      <c r="Z9" s="129" t="str">
        <f t="shared" si="2"/>
        <v>2.0</v>
      </c>
      <c r="AA9" s="129" t="str">
        <f t="shared" si="2"/>
        <v>2.-1</v>
      </c>
      <c r="AB9" s="129" t="str">
        <f>CONCATENATE(LEFT(AB8,1)+1,".",RIGHT(AB8,1))</f>
        <v>2.0</v>
      </c>
      <c r="AC9" s="129" t="str">
        <f t="shared" si="3"/>
        <v>2.1</v>
      </c>
      <c r="AD9" s="129" t="str">
        <f t="shared" si="3"/>
        <v>2.2</v>
      </c>
      <c r="AE9" s="129" t="str">
        <f t="shared" si="3"/>
        <v>2.3</v>
      </c>
      <c r="AF9" s="129" t="str">
        <f t="shared" si="3"/>
        <v>2.4</v>
      </c>
      <c r="AG9" s="129" t="str">
        <f t="shared" si="3"/>
        <v>2.5</v>
      </c>
    </row>
    <row r="10" spans="1:33" x14ac:dyDescent="0.2">
      <c r="A10" s="13"/>
      <c r="B10" s="3" t="s">
        <v>12</v>
      </c>
      <c r="C10" s="9"/>
      <c r="D10" s="106"/>
      <c r="E10" s="9" t="s">
        <v>99</v>
      </c>
      <c r="F10" s="9"/>
      <c r="G10" s="128"/>
      <c r="H10" s="79"/>
      <c r="I10" s="9" t="s">
        <v>78</v>
      </c>
      <c r="J10" s="9"/>
      <c r="K10" s="9"/>
      <c r="L10" s="9"/>
      <c r="M10" s="9"/>
      <c r="N10" s="9"/>
      <c r="O10" s="9"/>
      <c r="P10" s="3"/>
      <c r="Q10" s="3"/>
      <c r="R10" s="3"/>
      <c r="S10" s="3"/>
      <c r="T10" s="3"/>
      <c r="U10" s="3"/>
      <c r="V10" s="3"/>
      <c r="W10" s="129" t="str">
        <f t="shared" si="2"/>
        <v>3.-1</v>
      </c>
      <c r="X10" s="129" t="str">
        <f t="shared" si="2"/>
        <v>3.0</v>
      </c>
      <c r="Y10" s="129" t="str">
        <f t="shared" si="2"/>
        <v>3.-1</v>
      </c>
      <c r="Z10" s="129" t="str">
        <f t="shared" si="2"/>
        <v>3.0</v>
      </c>
      <c r="AA10" s="129" t="str">
        <f t="shared" si="2"/>
        <v>3.-1</v>
      </c>
      <c r="AB10" s="129" t="str">
        <f>CONCATENATE(LEFT(AB9,1)+1,".",RIGHT(AB9,1))</f>
        <v>3.0</v>
      </c>
      <c r="AC10" s="129" t="str">
        <f t="shared" si="3"/>
        <v>3.1</v>
      </c>
      <c r="AD10" s="129" t="str">
        <f t="shared" si="3"/>
        <v>3.2</v>
      </c>
      <c r="AE10" s="129" t="str">
        <f t="shared" si="3"/>
        <v>3.3</v>
      </c>
      <c r="AF10" s="129" t="str">
        <f t="shared" si="3"/>
        <v>3.4</v>
      </c>
      <c r="AG10" s="129" t="str">
        <f t="shared" si="3"/>
        <v>3.5</v>
      </c>
    </row>
    <row r="11" spans="1:33" x14ac:dyDescent="0.2">
      <c r="A11" s="17"/>
      <c r="B11" s="3" t="s">
        <v>13</v>
      </c>
      <c r="C11" s="9"/>
      <c r="D11" s="107"/>
      <c r="E11" s="9" t="s">
        <v>97</v>
      </c>
      <c r="F11" s="9"/>
      <c r="G11" s="128" t="s">
        <v>100</v>
      </c>
      <c r="H11" s="80"/>
      <c r="I11" s="9" t="s">
        <v>79</v>
      </c>
      <c r="J11" s="9"/>
      <c r="K11" s="9"/>
      <c r="L11" s="9"/>
      <c r="M11" s="9"/>
      <c r="N11" s="9"/>
      <c r="O11" s="9"/>
      <c r="P11" s="3"/>
      <c r="Q11" s="3"/>
      <c r="R11" s="3"/>
      <c r="S11" s="3"/>
      <c r="T11" s="3"/>
      <c r="U11" s="3"/>
      <c r="V11" s="3"/>
      <c r="W11" s="129" t="str">
        <f t="shared" si="2"/>
        <v>4.-1</v>
      </c>
      <c r="X11" s="129" t="str">
        <f t="shared" si="2"/>
        <v>4.0</v>
      </c>
      <c r="Y11" s="129" t="str">
        <f t="shared" si="2"/>
        <v>4.-1</v>
      </c>
      <c r="Z11" s="129" t="str">
        <f t="shared" si="2"/>
        <v>4.0</v>
      </c>
      <c r="AA11" s="129" t="str">
        <f t="shared" si="2"/>
        <v>4.-1</v>
      </c>
      <c r="AB11" s="129" t="str">
        <f>CONCATENATE(LEFT(AB10,1)+1,".",RIGHT(AB10,1))</f>
        <v>4.0</v>
      </c>
      <c r="AC11" s="129" t="str">
        <f t="shared" si="3"/>
        <v>4.1</v>
      </c>
      <c r="AD11" s="129" t="str">
        <f t="shared" si="3"/>
        <v>4.2</v>
      </c>
      <c r="AE11" s="129" t="str">
        <f t="shared" si="3"/>
        <v>4.3</v>
      </c>
      <c r="AF11" s="129" t="str">
        <f t="shared" si="3"/>
        <v>4.4</v>
      </c>
      <c r="AG11" s="129" t="str">
        <f t="shared" si="3"/>
        <v>4.5</v>
      </c>
    </row>
    <row r="12" spans="1:33" x14ac:dyDescent="0.2">
      <c r="A12" s="24"/>
      <c r="B12" s="3" t="s">
        <v>14</v>
      </c>
      <c r="C12" s="9"/>
      <c r="D12" s="108"/>
      <c r="E12" s="9" t="s">
        <v>98</v>
      </c>
      <c r="F12" s="9"/>
      <c r="G12" s="128" t="s">
        <v>64</v>
      </c>
      <c r="H12" s="81"/>
      <c r="I12" s="90" t="s">
        <v>80</v>
      </c>
      <c r="J12" s="9"/>
      <c r="K12" s="9"/>
      <c r="L12" s="9"/>
      <c r="M12" s="9"/>
      <c r="N12" s="9"/>
      <c r="O12" s="9"/>
      <c r="P12" s="3"/>
      <c r="Q12" s="3"/>
      <c r="R12" s="3"/>
      <c r="S12" s="3"/>
      <c r="T12" s="3"/>
      <c r="U12" s="3"/>
      <c r="V12" s="3"/>
      <c r="W12" s="129" t="str">
        <f t="shared" si="2"/>
        <v>5.-1</v>
      </c>
      <c r="X12" s="129" t="str">
        <f t="shared" si="2"/>
        <v>5.0</v>
      </c>
      <c r="Y12" s="129" t="str">
        <f t="shared" si="2"/>
        <v>5.-1</v>
      </c>
      <c r="Z12" s="129" t="str">
        <f t="shared" si="2"/>
        <v>5.0</v>
      </c>
      <c r="AA12" s="129" t="str">
        <f t="shared" si="2"/>
        <v>5.-1</v>
      </c>
      <c r="AB12" s="129" t="str">
        <f>CONCATENATE(LEFT(AB11,1)+1,".",RIGHT(AB11,1))</f>
        <v>5.0</v>
      </c>
      <c r="AC12" s="129" t="str">
        <f t="shared" si="3"/>
        <v>5.1</v>
      </c>
      <c r="AD12" s="129" t="str">
        <f t="shared" si="3"/>
        <v>5.2</v>
      </c>
      <c r="AE12" s="129" t="str">
        <f t="shared" si="3"/>
        <v>5.3</v>
      </c>
      <c r="AF12" s="129" t="str">
        <f t="shared" si="3"/>
        <v>5.4</v>
      </c>
      <c r="AG12" s="129" t="str">
        <f t="shared" si="3"/>
        <v>5.5</v>
      </c>
    </row>
    <row r="13" spans="1:33" x14ac:dyDescent="0.2">
      <c r="A13" s="25"/>
      <c r="B13" s="3" t="s">
        <v>15</v>
      </c>
      <c r="C13" s="9"/>
      <c r="D13" s="9"/>
      <c r="E13" s="9"/>
      <c r="F13" s="9"/>
      <c r="G13" s="128" t="s">
        <v>66</v>
      </c>
      <c r="H13" s="82"/>
      <c r="I13" s="90" t="s">
        <v>81</v>
      </c>
      <c r="J13" s="87"/>
      <c r="K13" s="3"/>
      <c r="L13" s="9"/>
      <c r="M13" s="3"/>
      <c r="N13" s="9"/>
      <c r="O13" s="9"/>
      <c r="P13" s="3"/>
      <c r="Q13" s="3"/>
      <c r="R13" s="3"/>
      <c r="S13" s="3"/>
      <c r="T13" s="3"/>
      <c r="U13" s="3"/>
      <c r="V13" s="3"/>
    </row>
    <row r="14" spans="1:33" x14ac:dyDescent="0.2">
      <c r="A14" s="26"/>
      <c r="B14" s="3" t="s">
        <v>16</v>
      </c>
      <c r="C14" s="9"/>
      <c r="D14" s="9"/>
      <c r="E14" s="9"/>
      <c r="F14" s="9"/>
      <c r="G14" s="128" t="s">
        <v>65</v>
      </c>
      <c r="H14" s="83"/>
      <c r="I14" s="90" t="s">
        <v>82</v>
      </c>
      <c r="J14" s="86"/>
      <c r="K14" s="9"/>
      <c r="L14" s="9"/>
      <c r="M14" s="3"/>
      <c r="N14" s="9"/>
      <c r="O14" s="9"/>
      <c r="P14" s="3"/>
      <c r="Q14" s="3"/>
      <c r="R14" s="3"/>
      <c r="S14" s="3"/>
      <c r="T14" s="3"/>
      <c r="U14" s="3"/>
      <c r="V14" s="3"/>
    </row>
    <row r="15" spans="1:33" x14ac:dyDescent="0.2">
      <c r="A15" s="27"/>
      <c r="B15" s="3" t="s">
        <v>17</v>
      </c>
      <c r="C15" s="9"/>
      <c r="D15" s="9"/>
      <c r="E15" s="9"/>
      <c r="F15" s="9"/>
      <c r="G15" s="128" t="s">
        <v>67</v>
      </c>
      <c r="H15" s="84"/>
      <c r="I15" s="90" t="s">
        <v>83</v>
      </c>
      <c r="J15" s="88"/>
      <c r="K15" s="9"/>
      <c r="L15" s="9"/>
      <c r="M15" s="3"/>
      <c r="N15" s="9"/>
      <c r="O15" s="9"/>
      <c r="P15" s="3"/>
      <c r="Q15" s="3"/>
      <c r="R15" s="3"/>
      <c r="S15" s="3"/>
      <c r="T15" s="3"/>
      <c r="U15" s="3"/>
      <c r="V15" s="3"/>
    </row>
    <row r="16" spans="1:33" x14ac:dyDescent="0.2">
      <c r="A16" s="28"/>
      <c r="B16" s="3" t="s">
        <v>18</v>
      </c>
      <c r="C16" s="9"/>
      <c r="D16" s="9"/>
      <c r="E16" s="9"/>
      <c r="F16" s="9"/>
      <c r="G16" s="128" t="s">
        <v>68</v>
      </c>
      <c r="H16" s="85"/>
      <c r="I16" s="90" t="s">
        <v>84</v>
      </c>
      <c r="J16" s="89"/>
      <c r="K16" s="9"/>
      <c r="L16" s="9"/>
      <c r="M16" s="3"/>
      <c r="N16" s="9"/>
      <c r="O16" s="9"/>
      <c r="P16" s="3"/>
      <c r="Q16" s="3"/>
      <c r="R16" s="3"/>
      <c r="S16" s="3"/>
      <c r="T16" s="3"/>
      <c r="U16" s="3"/>
      <c r="V16" s="3"/>
    </row>
    <row r="17" spans="1:22" x14ac:dyDescent="0.2">
      <c r="A17" s="29"/>
      <c r="B17" s="3" t="s">
        <v>19</v>
      </c>
      <c r="C17" s="9"/>
      <c r="D17" s="9"/>
      <c r="E17" s="9"/>
      <c r="F17" s="9"/>
      <c r="G17" s="128"/>
      <c r="H17" s="73"/>
      <c r="I17" s="9" t="s">
        <v>85</v>
      </c>
      <c r="J17" s="9"/>
      <c r="K17" s="9"/>
      <c r="L17" s="9"/>
      <c r="M17" s="9"/>
      <c r="N17" s="9"/>
      <c r="O17" s="9"/>
      <c r="P17" s="3"/>
      <c r="Q17" s="3"/>
      <c r="R17" s="3"/>
      <c r="S17" s="3"/>
      <c r="T17" s="3"/>
      <c r="U17" s="3"/>
      <c r="V17" s="3"/>
    </row>
    <row r="18" spans="1:22" x14ac:dyDescent="0.2">
      <c r="A18" s="30"/>
      <c r="B18" s="3" t="s">
        <v>20</v>
      </c>
      <c r="C18" s="9"/>
      <c r="D18" s="9"/>
      <c r="E18" s="9"/>
      <c r="F18" s="9"/>
      <c r="G18" s="128" t="s">
        <v>785</v>
      </c>
      <c r="H18" s="70"/>
      <c r="I18" s="9" t="s">
        <v>86</v>
      </c>
      <c r="J18" s="9"/>
      <c r="K18" s="9"/>
      <c r="L18" s="9"/>
      <c r="M18" s="9"/>
      <c r="N18" s="9"/>
      <c r="O18" s="9"/>
      <c r="P18" s="3"/>
      <c r="Q18" s="3"/>
      <c r="R18" s="3"/>
      <c r="S18" s="3"/>
      <c r="T18" s="3"/>
      <c r="U18" s="3"/>
      <c r="V18" s="3"/>
    </row>
    <row r="19" spans="1:22" x14ac:dyDescent="0.2">
      <c r="A19" s="31"/>
      <c r="B19" s="3" t="s">
        <v>21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3"/>
      <c r="Q19" s="3"/>
      <c r="R19" s="3"/>
      <c r="S19" s="3"/>
      <c r="T19" s="3"/>
      <c r="U19" s="3"/>
      <c r="V19" s="3"/>
    </row>
    <row r="20" spans="1:22" x14ac:dyDescent="0.2">
      <c r="A20" s="32"/>
      <c r="B20" s="3" t="s">
        <v>22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3"/>
      <c r="Q20" s="3"/>
      <c r="R20" s="3"/>
      <c r="S20" s="3"/>
      <c r="T20" s="3"/>
      <c r="U20" s="3"/>
      <c r="V20" s="3"/>
    </row>
    <row r="21" spans="1:22" x14ac:dyDescent="0.2">
      <c r="A21" s="33"/>
      <c r="B21" s="3" t="s">
        <v>23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">
      <c r="A22" s="34"/>
      <c r="B22" s="3" t="s">
        <v>24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">
      <c r="A23" s="35"/>
      <c r="B23" s="3" t="s">
        <v>25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">
      <c r="A24" s="36"/>
      <c r="B24" s="3" t="s">
        <v>26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">
      <c r="A25" s="37"/>
      <c r="B25" s="3" t="s">
        <v>27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">
      <c r="A26" s="38"/>
      <c r="B26" s="3" t="s">
        <v>28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">
      <c r="A27" s="39"/>
      <c r="B27" s="3" t="s">
        <v>29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">
      <c r="A28" s="40"/>
      <c r="B28" s="3" t="s">
        <v>30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2" x14ac:dyDescent="0.2">
      <c r="A29" s="41"/>
      <c r="B29" s="3" t="s">
        <v>31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2" x14ac:dyDescent="0.2">
      <c r="A30" s="42"/>
      <c r="B30" s="3" t="s">
        <v>32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1:22" x14ac:dyDescent="0.2">
      <c r="A31" s="43"/>
      <c r="B31" s="3" t="s">
        <v>33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1:22" x14ac:dyDescent="0.2">
      <c r="A32" s="44"/>
      <c r="B32" s="3" t="s">
        <v>34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x14ac:dyDescent="0.2">
      <c r="A33" s="45"/>
      <c r="B33" s="3" t="s">
        <v>35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x14ac:dyDescent="0.2">
      <c r="A34" s="46"/>
      <c r="B34" s="3" t="s">
        <v>36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x14ac:dyDescent="0.2">
      <c r="A35" s="47"/>
      <c r="B35" s="3" t="s">
        <v>37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x14ac:dyDescent="0.2">
      <c r="A36" s="48"/>
      <c r="B36" s="3" t="s">
        <v>38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x14ac:dyDescent="0.2">
      <c r="A37" s="49"/>
      <c r="B37" s="3" t="s">
        <v>39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x14ac:dyDescent="0.2">
      <c r="A38" s="50"/>
      <c r="B38" s="3" t="s">
        <v>40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x14ac:dyDescent="0.2">
      <c r="A39" s="51"/>
      <c r="B39" s="3" t="s">
        <v>41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x14ac:dyDescent="0.2">
      <c r="A40" s="52"/>
      <c r="B40" s="3" t="s">
        <v>42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x14ac:dyDescent="0.2">
      <c r="A41" s="53"/>
      <c r="B41" s="3" t="s">
        <v>43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x14ac:dyDescent="0.2">
      <c r="A42" s="54"/>
      <c r="B42" s="3" t="s">
        <v>44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x14ac:dyDescent="0.2">
      <c r="A43" s="55"/>
      <c r="B43" s="3" t="s">
        <v>45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x14ac:dyDescent="0.2">
      <c r="A44" s="56"/>
      <c r="B44" s="3" t="s">
        <v>46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x14ac:dyDescent="0.2">
      <c r="A45" s="47"/>
      <c r="B45" s="3" t="s">
        <v>47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x14ac:dyDescent="0.2">
      <c r="A46" s="57"/>
      <c r="B46" s="3" t="s">
        <v>48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x14ac:dyDescent="0.2">
      <c r="A47" s="58"/>
      <c r="B47" s="3" t="s">
        <v>49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x14ac:dyDescent="0.2">
      <c r="A48" s="59"/>
      <c r="B48" s="3" t="s">
        <v>50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2">
      <c r="A49" s="60"/>
      <c r="B49" s="3" t="s">
        <v>51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2">
      <c r="A50" s="61"/>
      <c r="B50" s="3" t="s">
        <v>52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2">
      <c r="A51" s="62"/>
      <c r="B51" s="3" t="s">
        <v>53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2">
      <c r="A52" s="63"/>
      <c r="B52" s="3" t="s">
        <v>54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2">
      <c r="A53" s="64"/>
      <c r="B53" s="3" t="s">
        <v>55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2">
      <c r="A54" s="65"/>
      <c r="B54" s="3" t="s">
        <v>56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2">
      <c r="A55" s="66"/>
      <c r="B55" s="3" t="s">
        <v>57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2">
      <c r="A56" s="67"/>
      <c r="B56" s="3" t="s">
        <v>58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</sheetData>
  <mergeCells count="3">
    <mergeCell ref="N2:U2"/>
    <mergeCell ref="N3:P3"/>
    <mergeCell ref="Q3:U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DV1000"/>
  <sheetViews>
    <sheetView topLeftCell="BE19" zoomScaleNormal="100" workbookViewId="0">
      <selection activeCell="CX38" sqref="CX38"/>
    </sheetView>
  </sheetViews>
  <sheetFormatPr defaultRowHeight="12.75" x14ac:dyDescent="0.2"/>
  <cols>
    <col min="1" max="1" width="6.85546875" style="3" bestFit="1" customWidth="1"/>
    <col min="2" max="84" width="4.28515625" style="3" customWidth="1"/>
    <col min="85" max="85" width="12.28515625" style="3" bestFit="1" customWidth="1"/>
    <col min="86" max="147" width="2.42578125" style="3" customWidth="1"/>
    <col min="148" max="16384" width="9.140625" style="3"/>
  </cols>
  <sheetData>
    <row r="1" spans="1:126" ht="11.25" customHeight="1" x14ac:dyDescent="0.2">
      <c r="AB1" s="176"/>
      <c r="AC1" s="176"/>
      <c r="AD1" s="176"/>
      <c r="AE1" s="176"/>
      <c r="AF1" s="176"/>
      <c r="AG1" s="176"/>
      <c r="AH1" s="176"/>
      <c r="AI1" s="176"/>
      <c r="AJ1" s="178"/>
      <c r="AK1" s="178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78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>
        <v>1</v>
      </c>
      <c r="CH1" s="184"/>
      <c r="CI1" s="185"/>
      <c r="CJ1" s="185"/>
      <c r="CK1" s="185"/>
      <c r="CL1" s="185"/>
      <c r="CM1" s="185"/>
      <c r="CN1" s="185"/>
      <c r="CO1" s="185"/>
      <c r="CP1" s="185"/>
      <c r="CQ1" s="185"/>
      <c r="CR1" s="185"/>
      <c r="CS1" s="185"/>
      <c r="CT1" s="185"/>
      <c r="CU1" s="185"/>
      <c r="CV1" s="185"/>
      <c r="CW1" s="185"/>
      <c r="CX1" s="185"/>
      <c r="CY1" s="185"/>
      <c r="CZ1" s="185"/>
      <c r="DA1" s="186"/>
      <c r="DC1" s="184"/>
      <c r="DD1" s="185"/>
      <c r="DE1" s="185"/>
      <c r="DF1" s="185"/>
      <c r="DG1" s="185"/>
      <c r="DH1" s="185"/>
      <c r="DI1" s="185"/>
      <c r="DJ1" s="185"/>
      <c r="DK1" s="185"/>
      <c r="DL1" s="185"/>
      <c r="DM1" s="185"/>
      <c r="DN1" s="185"/>
      <c r="DO1" s="185"/>
      <c r="DP1" s="185"/>
      <c r="DQ1" s="185"/>
      <c r="DR1" s="185"/>
      <c r="DS1" s="185"/>
      <c r="DT1" s="185"/>
      <c r="DU1" s="185"/>
      <c r="DV1" s="186"/>
    </row>
    <row r="2" spans="1:126" ht="60.75" x14ac:dyDescent="0.2">
      <c r="B2" s="137" t="s">
        <v>377</v>
      </c>
      <c r="C2" s="137" t="s">
        <v>101</v>
      </c>
      <c r="D2" s="137" t="s">
        <v>376</v>
      </c>
      <c r="E2" s="137" t="s">
        <v>101</v>
      </c>
      <c r="F2" s="137" t="s">
        <v>375</v>
      </c>
      <c r="G2" s="137" t="s">
        <v>101</v>
      </c>
      <c r="H2" s="137" t="s">
        <v>378</v>
      </c>
      <c r="I2" s="137" t="s">
        <v>379</v>
      </c>
      <c r="J2" s="137"/>
      <c r="K2" s="137" t="s">
        <v>315</v>
      </c>
      <c r="L2" s="137" t="s">
        <v>316</v>
      </c>
      <c r="M2" s="137" t="s">
        <v>374</v>
      </c>
      <c r="O2" s="137" t="s">
        <v>786</v>
      </c>
      <c r="P2" s="137" t="s">
        <v>787</v>
      </c>
      <c r="Z2" s="137"/>
      <c r="AA2" s="137"/>
      <c r="AB2" s="176"/>
      <c r="AC2" s="176"/>
      <c r="AD2" s="176"/>
      <c r="AE2" s="176"/>
      <c r="AF2" s="176"/>
      <c r="AG2" s="176"/>
      <c r="AH2" s="176"/>
      <c r="AI2" s="176"/>
      <c r="AJ2" s="178"/>
      <c r="AK2" s="178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78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87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88"/>
      <c r="DC2" s="187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88"/>
    </row>
    <row r="3" spans="1:126" x14ac:dyDescent="0.2">
      <c r="B3" s="131">
        <f ca="1">ROUND(RAND()*10,0)</f>
        <v>7</v>
      </c>
      <c r="D3" s="131" t="str">
        <f ca="1">IF(B3&gt;1,"False","True")</f>
        <v>False</v>
      </c>
      <c r="F3" s="131">
        <f ca="1">IF(B3&lt;3,1,IF(B3&lt;6,2,IF(B3&lt;9,3,IF(B3&lt;10,4,))))</f>
        <v>3</v>
      </c>
      <c r="H3" s="131">
        <v>11</v>
      </c>
      <c r="I3" s="131">
        <v>13</v>
      </c>
      <c r="K3" s="131">
        <v>0</v>
      </c>
      <c r="L3" s="131">
        <v>0</v>
      </c>
      <c r="M3" s="131" t="str">
        <f>CONCATENATE(K3,".",L3)</f>
        <v>0.0</v>
      </c>
      <c r="O3" s="131">
        <v>25</v>
      </c>
      <c r="P3" s="131">
        <v>32</v>
      </c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81"/>
      <c r="BD3" s="181"/>
      <c r="BE3" s="181"/>
      <c r="BF3" s="178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  <c r="CB3" s="176"/>
      <c r="CC3" s="176"/>
      <c r="CD3" s="176"/>
      <c r="CE3" s="176"/>
      <c r="CF3" s="176"/>
      <c r="CG3" s="131"/>
      <c r="CH3" s="187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88"/>
      <c r="DC3" s="187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  <c r="DV3" s="188"/>
    </row>
    <row r="4" spans="1:126" ht="3.75" customHeight="1" x14ac:dyDescent="0.2">
      <c r="AB4" s="176"/>
      <c r="AC4" s="176"/>
      <c r="AD4" s="176"/>
      <c r="AE4" s="176"/>
      <c r="AF4" s="176"/>
      <c r="AG4" s="176"/>
      <c r="AH4" s="176"/>
      <c r="AI4" s="176"/>
      <c r="AJ4" s="178"/>
      <c r="AK4" s="178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78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  <c r="CB4" s="176"/>
      <c r="CC4" s="176"/>
      <c r="CD4" s="176"/>
      <c r="CE4" s="176"/>
      <c r="CF4" s="176"/>
      <c r="CG4" s="176"/>
      <c r="CH4" s="187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88"/>
      <c r="DC4" s="187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  <c r="DV4" s="188"/>
    </row>
    <row r="5" spans="1:126" ht="72" x14ac:dyDescent="0.2">
      <c r="A5" s="135" t="s">
        <v>370</v>
      </c>
      <c r="B5" s="136" t="s">
        <v>367</v>
      </c>
      <c r="C5" s="136" t="s">
        <v>104</v>
      </c>
      <c r="D5" s="136" t="s">
        <v>106</v>
      </c>
      <c r="E5" s="136" t="s">
        <v>368</v>
      </c>
      <c r="F5" s="136" t="s">
        <v>107</v>
      </c>
      <c r="G5" s="136" t="s">
        <v>108</v>
      </c>
      <c r="H5" s="136" t="s">
        <v>107</v>
      </c>
      <c r="I5" s="136" t="s">
        <v>111</v>
      </c>
      <c r="J5" s="136" t="s">
        <v>369</v>
      </c>
      <c r="K5" s="136" t="s">
        <v>371</v>
      </c>
      <c r="L5" s="136" t="s">
        <v>372</v>
      </c>
      <c r="M5" s="136" t="str">
        <f>CONCATENATE(L5," PP")</f>
        <v>Move 1 PP</v>
      </c>
      <c r="N5" s="136" t="str">
        <f>CONCATENATE(M5," PP Max")</f>
        <v>Move 1 PP PP Max</v>
      </c>
      <c r="O5" s="136" t="s">
        <v>373</v>
      </c>
      <c r="P5" s="136" t="str">
        <f>CONCATENATE(O5," PP")</f>
        <v>Move 2 PP</v>
      </c>
      <c r="Q5" s="136" t="str">
        <f>CONCATENATE(P5," PP Max")</f>
        <v>Move 2 PP PP Max</v>
      </c>
      <c r="R5" s="136" t="s">
        <v>373</v>
      </c>
      <c r="S5" s="136" t="str">
        <f>CONCATENATE(R5," PP")</f>
        <v>Move 2 PP</v>
      </c>
      <c r="T5" s="136" t="str">
        <f>CONCATENATE(S5," PP Max")</f>
        <v>Move 2 PP PP Max</v>
      </c>
      <c r="U5" s="136" t="s">
        <v>373</v>
      </c>
      <c r="V5" s="136" t="str">
        <f>CONCATENATE(U5," PP")</f>
        <v>Move 2 PP</v>
      </c>
      <c r="W5" s="136" t="str">
        <f>CONCATENATE(V5," PP Max")</f>
        <v>Move 2 PP PP Max</v>
      </c>
      <c r="X5" s="136"/>
      <c r="Y5" s="136"/>
      <c r="AA5" s="136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78"/>
      <c r="BG5" s="178"/>
      <c r="BH5" s="178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8"/>
      <c r="CH5" s="187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88"/>
      <c r="DC5" s="187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  <c r="DV5" s="188"/>
    </row>
    <row r="6" spans="1:126" x14ac:dyDescent="0.2">
      <c r="A6" s="145">
        <v>1</v>
      </c>
      <c r="B6" s="132">
        <v>100</v>
      </c>
      <c r="C6" s="132" t="s">
        <v>781</v>
      </c>
      <c r="D6" s="132">
        <v>75</v>
      </c>
      <c r="E6" s="132">
        <v>100</v>
      </c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AA6" s="132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81"/>
      <c r="AM6" s="181"/>
      <c r="AN6" s="181"/>
      <c r="AO6" s="181"/>
      <c r="AP6" s="181"/>
      <c r="AQ6" s="181"/>
      <c r="AR6" s="181"/>
      <c r="AS6" s="181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79"/>
      <c r="BG6" s="179"/>
      <c r="BH6" s="179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9"/>
      <c r="CH6" s="187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88"/>
      <c r="DC6" s="187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118"/>
      <c r="DS6" s="118"/>
      <c r="DT6" s="118"/>
      <c r="DU6" s="118"/>
      <c r="DV6" s="188"/>
    </row>
    <row r="7" spans="1:126" x14ac:dyDescent="0.2">
      <c r="A7" s="146">
        <v>2</v>
      </c>
      <c r="B7" s="132">
        <v>5</v>
      </c>
      <c r="C7" s="132" t="s">
        <v>782</v>
      </c>
      <c r="D7" s="132">
        <v>2</v>
      </c>
      <c r="E7" s="132">
        <v>50</v>
      </c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AA7" s="132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81"/>
      <c r="AM7" s="181"/>
      <c r="AN7" s="181"/>
      <c r="AO7" s="181"/>
      <c r="AP7" s="181"/>
      <c r="AQ7" s="181"/>
      <c r="AR7" s="181"/>
      <c r="AS7" s="181"/>
      <c r="AT7" s="181"/>
      <c r="AU7" s="181"/>
      <c r="AV7" s="181"/>
      <c r="AW7" s="181"/>
      <c r="AX7" s="181"/>
      <c r="AY7" s="181"/>
      <c r="AZ7" s="181"/>
      <c r="BA7" s="181"/>
      <c r="BB7" s="181"/>
      <c r="BC7" s="181"/>
      <c r="BD7" s="181"/>
      <c r="BE7" s="181"/>
      <c r="BF7" s="179"/>
      <c r="BG7" s="179"/>
      <c r="BH7" s="179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9"/>
      <c r="CH7" s="187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18"/>
      <c r="CT7" s="118"/>
      <c r="CU7" s="118"/>
      <c r="CV7" s="118"/>
      <c r="CW7" s="118"/>
      <c r="CX7" s="118"/>
      <c r="CY7" s="118"/>
      <c r="CZ7" s="118"/>
      <c r="DA7" s="188"/>
      <c r="DC7" s="187"/>
      <c r="DD7" s="118"/>
      <c r="DE7" s="118"/>
      <c r="DF7" s="118"/>
      <c r="DG7" s="118"/>
      <c r="DH7" s="118"/>
      <c r="DI7" s="118"/>
      <c r="DJ7" s="118"/>
      <c r="DK7" s="118"/>
      <c r="DL7" s="118"/>
      <c r="DM7" s="118"/>
      <c r="DN7" s="118"/>
      <c r="DO7" s="118"/>
      <c r="DP7" s="118"/>
      <c r="DQ7" s="118"/>
      <c r="DR7" s="118"/>
      <c r="DS7" s="118"/>
      <c r="DT7" s="118"/>
      <c r="DU7" s="118"/>
      <c r="DV7" s="188"/>
    </row>
    <row r="8" spans="1:126" x14ac:dyDescent="0.2">
      <c r="A8" s="146">
        <v>3</v>
      </c>
      <c r="B8" s="3">
        <v>6</v>
      </c>
      <c r="C8" s="132" t="s">
        <v>784</v>
      </c>
      <c r="D8" s="3">
        <v>0</v>
      </c>
      <c r="E8" s="3">
        <v>75</v>
      </c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AA8" s="132"/>
      <c r="AB8" s="179"/>
      <c r="AC8" s="179"/>
      <c r="AD8" s="179"/>
      <c r="AE8" s="179"/>
      <c r="AF8" s="179"/>
      <c r="AG8" s="179"/>
      <c r="AH8" s="179"/>
      <c r="AI8" s="179"/>
      <c r="AJ8" s="179"/>
      <c r="AK8" s="179"/>
      <c r="AL8" s="181"/>
      <c r="AM8" s="181"/>
      <c r="AN8" s="181"/>
      <c r="AO8" s="181"/>
      <c r="AP8" s="181"/>
      <c r="AQ8" s="181"/>
      <c r="AR8" s="181"/>
      <c r="AS8" s="181"/>
      <c r="AT8" s="181"/>
      <c r="AU8" s="181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79"/>
      <c r="BG8" s="179"/>
      <c r="BH8" s="179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9"/>
      <c r="CH8" s="187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88"/>
      <c r="DC8" s="187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88"/>
    </row>
    <row r="9" spans="1:126" x14ac:dyDescent="0.2">
      <c r="A9" s="146">
        <v>4</v>
      </c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AA9" s="132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81"/>
      <c r="AM9" s="181"/>
      <c r="AN9" s="181"/>
      <c r="AO9" s="181"/>
      <c r="AP9" s="181"/>
      <c r="AQ9" s="181"/>
      <c r="AR9" s="181"/>
      <c r="AS9" s="181"/>
      <c r="AT9" s="181"/>
      <c r="AU9" s="181"/>
      <c r="AV9" s="181"/>
      <c r="AW9" s="181"/>
      <c r="AX9" s="181"/>
      <c r="AY9" s="181"/>
      <c r="AZ9" s="181"/>
      <c r="BA9" s="181"/>
      <c r="BB9" s="181"/>
      <c r="BC9" s="181"/>
      <c r="BD9" s="181"/>
      <c r="BE9" s="181"/>
      <c r="BF9" s="179"/>
      <c r="BG9" s="179"/>
      <c r="BH9" s="179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9"/>
      <c r="CH9" s="187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18"/>
      <c r="CT9" s="118"/>
      <c r="CU9" s="118"/>
      <c r="CV9" s="118"/>
      <c r="CW9" s="118"/>
      <c r="CX9" s="118"/>
      <c r="CY9" s="118"/>
      <c r="CZ9" s="118"/>
      <c r="DA9" s="188"/>
      <c r="DC9" s="187"/>
      <c r="DD9" s="118"/>
      <c r="DE9" s="118"/>
      <c r="DF9" s="118"/>
      <c r="DG9" s="118"/>
      <c r="DH9" s="118"/>
      <c r="DI9" s="118"/>
      <c r="DJ9" s="118"/>
      <c r="DK9" s="118"/>
      <c r="DL9" s="118"/>
      <c r="DM9" s="118"/>
      <c r="DN9" s="118"/>
      <c r="DO9" s="118"/>
      <c r="DP9" s="118"/>
      <c r="DQ9" s="118"/>
      <c r="DR9" s="118"/>
      <c r="DS9" s="118"/>
      <c r="DT9" s="118"/>
      <c r="DU9" s="118"/>
      <c r="DV9" s="188"/>
    </row>
    <row r="10" spans="1:126" x14ac:dyDescent="0.2">
      <c r="A10" s="146">
        <v>5</v>
      </c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AA10" s="132"/>
      <c r="AB10" s="179"/>
      <c r="AC10" s="179"/>
      <c r="AD10" s="179"/>
      <c r="AE10" s="179"/>
      <c r="AF10" s="179"/>
      <c r="AG10" s="179"/>
      <c r="AH10" s="179"/>
      <c r="AI10" s="179"/>
      <c r="AJ10" s="179"/>
      <c r="AK10" s="179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79"/>
      <c r="BG10" s="179"/>
      <c r="BH10" s="179"/>
      <c r="BI10" s="176"/>
      <c r="BJ10" s="176"/>
      <c r="BK10" s="176"/>
      <c r="BL10" s="176"/>
      <c r="BM10" s="176"/>
      <c r="BN10" s="176"/>
      <c r="BO10" s="176"/>
      <c r="BP10" s="176"/>
      <c r="BQ10" s="176"/>
      <c r="BR10" s="176"/>
      <c r="BS10" s="176"/>
      <c r="BT10" s="176"/>
      <c r="BU10" s="176"/>
      <c r="BV10" s="176"/>
      <c r="BW10" s="176"/>
      <c r="BX10" s="176"/>
      <c r="BY10" s="176"/>
      <c r="BZ10" s="176"/>
      <c r="CA10" s="176"/>
      <c r="CB10" s="176"/>
      <c r="CC10" s="176"/>
      <c r="CD10" s="176"/>
      <c r="CE10" s="176"/>
      <c r="CF10" s="176"/>
      <c r="CG10" s="179"/>
      <c r="CH10" s="187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18"/>
      <c r="CT10" s="118"/>
      <c r="CU10" s="118"/>
      <c r="CV10" s="118"/>
      <c r="CW10" s="118"/>
      <c r="CX10" s="118"/>
      <c r="CY10" s="118"/>
      <c r="CZ10" s="118"/>
      <c r="DA10" s="188"/>
      <c r="DC10" s="187"/>
      <c r="DD10" s="118"/>
      <c r="DE10" s="118"/>
      <c r="DF10" s="118"/>
      <c r="DG10" s="118"/>
      <c r="DH10" s="118"/>
      <c r="DI10" s="118"/>
      <c r="DJ10" s="118"/>
      <c r="DK10" s="118"/>
      <c r="DL10" s="118"/>
      <c r="DM10" s="118"/>
      <c r="DN10" s="118"/>
      <c r="DO10" s="118"/>
      <c r="DP10" s="118"/>
      <c r="DQ10" s="118"/>
      <c r="DR10" s="118"/>
      <c r="DS10" s="118"/>
      <c r="DT10" s="118"/>
      <c r="DU10" s="118"/>
      <c r="DV10" s="188"/>
    </row>
    <row r="11" spans="1:126" x14ac:dyDescent="0.2">
      <c r="A11" s="147">
        <v>6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AA11" s="132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79"/>
      <c r="BG11" s="179"/>
      <c r="BH11" s="179"/>
      <c r="BI11" s="176"/>
      <c r="BJ11" s="176"/>
      <c r="BK11" s="176"/>
      <c r="BL11" s="176"/>
      <c r="BM11" s="176"/>
      <c r="BN11" s="176"/>
      <c r="BO11" s="176"/>
      <c r="BP11" s="176"/>
      <c r="BQ11" s="176"/>
      <c r="BR11" s="176"/>
      <c r="BS11" s="176"/>
      <c r="BT11" s="176"/>
      <c r="BU11" s="176"/>
      <c r="BV11" s="176"/>
      <c r="BW11" s="176"/>
      <c r="BX11" s="176"/>
      <c r="BY11" s="176"/>
      <c r="BZ11" s="176"/>
      <c r="CA11" s="176"/>
      <c r="CB11" s="176"/>
      <c r="CC11" s="176"/>
      <c r="CD11" s="176"/>
      <c r="CE11" s="176"/>
      <c r="CF11" s="176"/>
      <c r="CG11" s="179"/>
      <c r="CH11" s="187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18"/>
      <c r="CT11" s="118"/>
      <c r="CU11" s="118"/>
      <c r="CV11" s="118"/>
      <c r="CW11" s="118"/>
      <c r="CX11" s="118"/>
      <c r="CY11" s="118"/>
      <c r="CZ11" s="118"/>
      <c r="DA11" s="188"/>
      <c r="DC11" s="187"/>
      <c r="DD11" s="118"/>
      <c r="DE11" s="118"/>
      <c r="DF11" s="118"/>
      <c r="DG11" s="118"/>
      <c r="DH11" s="118"/>
      <c r="DI11" s="118"/>
      <c r="DJ11" s="118"/>
      <c r="DK11" s="118"/>
      <c r="DL11" s="118"/>
      <c r="DM11" s="118"/>
      <c r="DN11" s="118"/>
      <c r="DO11" s="118"/>
      <c r="DP11" s="118"/>
      <c r="DQ11" s="118"/>
      <c r="DR11" s="118"/>
      <c r="DS11" s="118"/>
      <c r="DT11" s="118"/>
      <c r="DU11" s="118"/>
      <c r="DV11" s="188"/>
    </row>
    <row r="12" spans="1:126" x14ac:dyDescent="0.2">
      <c r="A12" s="145">
        <v>1</v>
      </c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AA12" s="132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79"/>
      <c r="BG12" s="179"/>
      <c r="BH12" s="179"/>
      <c r="BI12" s="176"/>
      <c r="BJ12" s="176"/>
      <c r="BK12" s="176"/>
      <c r="BL12" s="176"/>
      <c r="BM12" s="176"/>
      <c r="BN12" s="176"/>
      <c r="BO12" s="176"/>
      <c r="BP12" s="176"/>
      <c r="BQ12" s="176"/>
      <c r="BR12" s="176"/>
      <c r="BS12" s="176"/>
      <c r="BT12" s="176"/>
      <c r="BU12" s="176"/>
      <c r="BV12" s="176"/>
      <c r="BW12" s="176"/>
      <c r="BX12" s="176"/>
      <c r="BY12" s="176"/>
      <c r="BZ12" s="176"/>
      <c r="CA12" s="176"/>
      <c r="CB12" s="176"/>
      <c r="CC12" s="176"/>
      <c r="CD12" s="176"/>
      <c r="CE12" s="176"/>
      <c r="CF12" s="176"/>
      <c r="CG12" s="179"/>
      <c r="CH12" s="187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18"/>
      <c r="CT12" s="118"/>
      <c r="CU12" s="118"/>
      <c r="CV12" s="118"/>
      <c r="CW12" s="118"/>
      <c r="CX12" s="118"/>
      <c r="CY12" s="118"/>
      <c r="CZ12" s="118"/>
      <c r="DA12" s="188"/>
      <c r="DC12" s="187"/>
      <c r="DD12" s="118"/>
      <c r="DE12" s="118"/>
      <c r="DF12" s="118"/>
      <c r="DG12" s="118"/>
      <c r="DH12" s="118"/>
      <c r="DI12" s="118"/>
      <c r="DJ12" s="118"/>
      <c r="DK12" s="118"/>
      <c r="DL12" s="118"/>
      <c r="DM12" s="118"/>
      <c r="DN12" s="118"/>
      <c r="DO12" s="118"/>
      <c r="DP12" s="118"/>
      <c r="DQ12" s="118"/>
      <c r="DR12" s="118"/>
      <c r="DS12" s="118"/>
      <c r="DT12" s="118"/>
      <c r="DU12" s="118"/>
      <c r="DV12" s="188"/>
    </row>
    <row r="13" spans="1:126" x14ac:dyDescent="0.2">
      <c r="A13" s="146">
        <v>2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AA13" s="132"/>
      <c r="AB13" s="179"/>
      <c r="AC13" s="179"/>
      <c r="AD13" s="179"/>
      <c r="AE13" s="179"/>
      <c r="AF13" s="179"/>
      <c r="AG13" s="179"/>
      <c r="AH13" s="179"/>
      <c r="AI13" s="179"/>
      <c r="AJ13" s="179"/>
      <c r="AK13" s="179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79"/>
      <c r="BG13" s="179"/>
      <c r="BH13" s="179"/>
      <c r="BI13" s="176"/>
      <c r="BJ13" s="176"/>
      <c r="BK13" s="176"/>
      <c r="BL13" s="176"/>
      <c r="BM13" s="176"/>
      <c r="BN13" s="176"/>
      <c r="BO13" s="176"/>
      <c r="BP13" s="176"/>
      <c r="BQ13" s="176"/>
      <c r="BR13" s="176"/>
      <c r="BS13" s="176"/>
      <c r="BT13" s="176"/>
      <c r="BU13" s="176"/>
      <c r="BV13" s="176"/>
      <c r="BW13" s="176"/>
      <c r="BX13" s="176"/>
      <c r="BY13" s="176"/>
      <c r="BZ13" s="176"/>
      <c r="CA13" s="176"/>
      <c r="CB13" s="176"/>
      <c r="CC13" s="176"/>
      <c r="CD13" s="176"/>
      <c r="CE13" s="176"/>
      <c r="CF13" s="176"/>
      <c r="CG13" s="179"/>
      <c r="CH13" s="187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18"/>
      <c r="CT13" s="118"/>
      <c r="CU13" s="118"/>
      <c r="CV13" s="138"/>
      <c r="CW13" s="118"/>
      <c r="CX13" s="118"/>
      <c r="CY13" s="118"/>
      <c r="CZ13" s="118"/>
      <c r="DA13" s="188"/>
      <c r="DC13" s="187"/>
      <c r="DD13" s="118"/>
      <c r="DE13" s="118"/>
      <c r="DF13" s="118"/>
      <c r="DG13" s="118"/>
      <c r="DH13" s="118"/>
      <c r="DI13" s="118"/>
      <c r="DJ13" s="118"/>
      <c r="DK13" s="118"/>
      <c r="DL13" s="118"/>
      <c r="DM13" s="118"/>
      <c r="DN13" s="118"/>
      <c r="DO13" s="118"/>
      <c r="DP13" s="118"/>
      <c r="DQ13" s="138"/>
      <c r="DR13" s="118"/>
      <c r="DS13" s="118"/>
      <c r="DT13" s="118"/>
      <c r="DU13" s="118"/>
      <c r="DV13" s="188"/>
    </row>
    <row r="14" spans="1:126" x14ac:dyDescent="0.2">
      <c r="A14" s="146">
        <v>3</v>
      </c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AA14" s="132"/>
      <c r="AB14" s="179"/>
      <c r="AC14" s="179"/>
      <c r="AD14" s="179"/>
      <c r="AE14" s="179"/>
      <c r="AF14" s="179"/>
      <c r="AG14" s="179"/>
      <c r="AH14" s="179"/>
      <c r="AI14" s="179"/>
      <c r="AJ14" s="179"/>
      <c r="AK14" s="179"/>
      <c r="AL14" s="182"/>
      <c r="AM14" s="182"/>
      <c r="AN14" s="182"/>
      <c r="AO14" s="182"/>
      <c r="AP14" s="182"/>
      <c r="AQ14" s="182"/>
      <c r="AR14" s="182"/>
      <c r="AS14" s="182"/>
      <c r="AT14" s="182"/>
      <c r="AU14" s="182"/>
      <c r="AV14" s="182"/>
      <c r="AW14" s="182"/>
      <c r="AX14" s="182"/>
      <c r="AY14" s="182"/>
      <c r="AZ14" s="182"/>
      <c r="BA14" s="182"/>
      <c r="BB14" s="182"/>
      <c r="BC14" s="182"/>
      <c r="BD14" s="182"/>
      <c r="BE14" s="182"/>
      <c r="BF14" s="179"/>
      <c r="BG14" s="179"/>
      <c r="BH14" s="179"/>
      <c r="BI14" s="176"/>
      <c r="BJ14" s="176"/>
      <c r="BK14" s="176"/>
      <c r="BL14" s="176"/>
      <c r="BM14" s="176"/>
      <c r="BN14" s="176"/>
      <c r="BO14" s="176"/>
      <c r="BP14" s="176"/>
      <c r="BQ14" s="176"/>
      <c r="BR14" s="176"/>
      <c r="BS14" s="176"/>
      <c r="BT14" s="176"/>
      <c r="BU14" s="176"/>
      <c r="BV14" s="176"/>
      <c r="BW14" s="176"/>
      <c r="BX14" s="176"/>
      <c r="BY14" s="176"/>
      <c r="BZ14" s="176"/>
      <c r="CA14" s="176"/>
      <c r="CB14" s="176"/>
      <c r="CC14" s="176"/>
      <c r="CD14" s="176"/>
      <c r="CE14" s="176"/>
      <c r="CF14" s="176"/>
      <c r="CG14" s="179"/>
      <c r="CH14" s="187"/>
      <c r="CI14" s="118"/>
      <c r="CJ14" s="118"/>
      <c r="CK14" s="118"/>
      <c r="CL14" s="118"/>
      <c r="CM14" s="118"/>
      <c r="CN14" s="118"/>
      <c r="CO14" s="121"/>
      <c r="CP14" s="121"/>
      <c r="CQ14" s="118"/>
      <c r="CR14" s="120"/>
      <c r="CS14" s="120"/>
      <c r="CT14" s="120"/>
      <c r="CU14" s="120"/>
      <c r="CV14" s="120"/>
      <c r="CW14" s="118"/>
      <c r="CX14" s="118"/>
      <c r="CY14" s="118"/>
      <c r="CZ14" s="118"/>
      <c r="DA14" s="188"/>
      <c r="DC14" s="187"/>
      <c r="DD14" s="118"/>
      <c r="DE14" s="118"/>
      <c r="DF14" s="118"/>
      <c r="DG14" s="118"/>
      <c r="DH14" s="118"/>
      <c r="DI14" s="118"/>
      <c r="DJ14" s="120"/>
      <c r="DK14" s="120"/>
      <c r="DL14" s="205"/>
      <c r="DM14" s="205"/>
      <c r="DN14" s="205"/>
      <c r="DO14" s="120"/>
      <c r="DP14" s="120"/>
      <c r="DQ14" s="120"/>
      <c r="DR14" s="118"/>
      <c r="DS14" s="118"/>
      <c r="DT14" s="118"/>
      <c r="DU14" s="118"/>
      <c r="DV14" s="188"/>
    </row>
    <row r="15" spans="1:126" x14ac:dyDescent="0.2">
      <c r="A15" s="146">
        <v>4</v>
      </c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AA15" s="132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82"/>
      <c r="AM15" s="182"/>
      <c r="AN15" s="182"/>
      <c r="AO15" s="182"/>
      <c r="AP15" s="182"/>
      <c r="AQ15" s="182"/>
      <c r="AR15" s="182"/>
      <c r="AS15" s="182"/>
      <c r="AT15" s="182"/>
      <c r="AU15" s="182"/>
      <c r="AV15" s="182"/>
      <c r="AW15" s="182"/>
      <c r="AX15" s="182"/>
      <c r="AY15" s="182"/>
      <c r="AZ15" s="182"/>
      <c r="BA15" s="182"/>
      <c r="BB15" s="182"/>
      <c r="BC15" s="182"/>
      <c r="BD15" s="182"/>
      <c r="BE15" s="182"/>
      <c r="BF15" s="179"/>
      <c r="BG15" s="179"/>
      <c r="BH15" s="179"/>
      <c r="BI15" s="176"/>
      <c r="BJ15" s="176"/>
      <c r="BK15" s="176"/>
      <c r="BL15" s="176"/>
      <c r="BM15" s="176"/>
      <c r="BN15" s="176"/>
      <c r="BO15" s="176"/>
      <c r="BP15" s="176"/>
      <c r="BQ15" s="176"/>
      <c r="BR15" s="176"/>
      <c r="BS15" s="176"/>
      <c r="BT15" s="176"/>
      <c r="BU15" s="176"/>
      <c r="BV15" s="176"/>
      <c r="BW15" s="176"/>
      <c r="BX15" s="176"/>
      <c r="BY15" s="176"/>
      <c r="BZ15" s="176"/>
      <c r="CA15" s="176"/>
      <c r="CB15" s="176"/>
      <c r="CC15" s="176"/>
      <c r="CD15" s="176"/>
      <c r="CE15" s="176"/>
      <c r="CF15" s="176"/>
      <c r="CG15" s="179"/>
      <c r="CH15" s="187"/>
      <c r="CI15" s="118"/>
      <c r="CJ15" s="118"/>
      <c r="CK15" s="118"/>
      <c r="CL15" s="118"/>
      <c r="CM15" s="118"/>
      <c r="CN15" s="118"/>
      <c r="CO15" s="120"/>
      <c r="CP15" s="122"/>
      <c r="CQ15" s="118"/>
      <c r="CR15" s="120"/>
      <c r="CS15" s="120"/>
      <c r="CT15" s="120"/>
      <c r="CU15" s="120"/>
      <c r="CV15" s="120"/>
      <c r="CW15" s="118"/>
      <c r="CX15" s="118"/>
      <c r="CY15" s="118"/>
      <c r="CZ15" s="118"/>
      <c r="DA15" s="188"/>
      <c r="DC15" s="187"/>
      <c r="DD15" s="118"/>
      <c r="DE15" s="118"/>
      <c r="DF15" s="118"/>
      <c r="DG15" s="118"/>
      <c r="DH15" s="118"/>
      <c r="DI15" s="118"/>
      <c r="DJ15" s="120"/>
      <c r="DK15" s="120"/>
      <c r="DL15" s="121"/>
      <c r="DM15" s="120"/>
      <c r="DN15" s="120"/>
      <c r="DO15" s="120"/>
      <c r="DP15" s="120"/>
      <c r="DQ15" s="120"/>
      <c r="DR15" s="118"/>
      <c r="DS15" s="118"/>
      <c r="DT15" s="118"/>
      <c r="DU15" s="118"/>
      <c r="DV15" s="188"/>
    </row>
    <row r="16" spans="1:126" x14ac:dyDescent="0.2">
      <c r="A16" s="146">
        <v>5</v>
      </c>
      <c r="B16" s="132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AA16" s="132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82"/>
      <c r="AM16" s="182"/>
      <c r="AN16" s="182"/>
      <c r="AO16" s="182"/>
      <c r="AP16" s="182"/>
      <c r="AQ16" s="182"/>
      <c r="AR16" s="182"/>
      <c r="AS16" s="182"/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79"/>
      <c r="BG16" s="179"/>
      <c r="BH16" s="179"/>
      <c r="BI16" s="176"/>
      <c r="BJ16" s="176"/>
      <c r="BK16" s="176"/>
      <c r="BL16" s="176"/>
      <c r="BM16" s="176"/>
      <c r="BN16" s="176"/>
      <c r="BO16" s="176"/>
      <c r="BP16" s="176"/>
      <c r="BQ16" s="176"/>
      <c r="BR16" s="176"/>
      <c r="BS16" s="176"/>
      <c r="BT16" s="176"/>
      <c r="BU16" s="176"/>
      <c r="BV16" s="176"/>
      <c r="BW16" s="176"/>
      <c r="BX16" s="176"/>
      <c r="BY16" s="176"/>
      <c r="BZ16" s="176"/>
      <c r="CA16" s="176"/>
      <c r="CB16" s="176"/>
      <c r="CC16" s="176"/>
      <c r="CD16" s="176"/>
      <c r="CE16" s="176"/>
      <c r="CF16" s="176"/>
      <c r="CG16" s="179"/>
      <c r="CH16" s="187"/>
      <c r="CI16" s="118"/>
      <c r="CJ16" s="118"/>
      <c r="CK16" s="118"/>
      <c r="CL16" s="118"/>
      <c r="CM16" s="118"/>
      <c r="CN16" s="118"/>
      <c r="CO16" s="120"/>
      <c r="CP16" s="120"/>
      <c r="CQ16" s="118"/>
      <c r="CR16" s="121"/>
      <c r="CS16" s="205"/>
      <c r="CT16" s="205"/>
      <c r="CU16" s="121"/>
      <c r="CV16" s="120"/>
      <c r="CW16" s="118"/>
      <c r="CX16" s="118"/>
      <c r="CY16" s="118"/>
      <c r="CZ16" s="118"/>
      <c r="DA16" s="188"/>
      <c r="DC16" s="187"/>
      <c r="DD16" s="118"/>
      <c r="DE16" s="118"/>
      <c r="DF16" s="118"/>
      <c r="DG16" s="118"/>
      <c r="DH16" s="118"/>
      <c r="DI16" s="118"/>
      <c r="DJ16" s="120"/>
      <c r="DK16" s="120"/>
      <c r="DL16" s="120"/>
      <c r="DM16" s="120"/>
      <c r="DN16" s="120"/>
      <c r="DO16" s="120"/>
      <c r="DP16" s="120"/>
      <c r="DQ16" s="120"/>
      <c r="DR16" s="118"/>
      <c r="DS16" s="118"/>
      <c r="DT16" s="118"/>
      <c r="DU16" s="118"/>
      <c r="DV16" s="188"/>
    </row>
    <row r="17" spans="1:126" x14ac:dyDescent="0.2">
      <c r="A17" s="147">
        <v>6</v>
      </c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AA17" s="132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82"/>
      <c r="AM17" s="182"/>
      <c r="AN17" s="182"/>
      <c r="AO17" s="182"/>
      <c r="AP17" s="182"/>
      <c r="AQ17" s="182"/>
      <c r="AR17" s="182"/>
      <c r="AS17" s="182"/>
      <c r="AT17" s="182"/>
      <c r="AU17" s="182"/>
      <c r="AV17" s="182"/>
      <c r="AW17" s="182"/>
      <c r="AX17" s="182"/>
      <c r="AY17" s="182"/>
      <c r="AZ17" s="182"/>
      <c r="BA17" s="182"/>
      <c r="BB17" s="182"/>
      <c r="BC17" s="182"/>
      <c r="BD17" s="182"/>
      <c r="BE17" s="182"/>
      <c r="BF17" s="179"/>
      <c r="BG17" s="179"/>
      <c r="BH17" s="179"/>
      <c r="BI17" s="176"/>
      <c r="BJ17" s="176"/>
      <c r="BK17" s="176"/>
      <c r="BL17" s="176"/>
      <c r="BM17" s="176"/>
      <c r="BN17" s="176"/>
      <c r="BO17" s="176"/>
      <c r="BP17" s="176"/>
      <c r="BQ17" s="176"/>
      <c r="BR17" s="176"/>
      <c r="BS17" s="176"/>
      <c r="BT17" s="176"/>
      <c r="BU17" s="176"/>
      <c r="BV17" s="176"/>
      <c r="BW17" s="176"/>
      <c r="BX17" s="176"/>
      <c r="BY17" s="176"/>
      <c r="BZ17" s="176"/>
      <c r="CA17" s="176"/>
      <c r="CB17" s="176"/>
      <c r="CC17" s="176"/>
      <c r="CD17" s="176"/>
      <c r="CE17" s="176"/>
      <c r="CF17" s="176"/>
      <c r="CG17" s="179"/>
      <c r="CH17" s="187"/>
      <c r="CI17" s="118"/>
      <c r="CJ17" s="118"/>
      <c r="CK17" s="118"/>
      <c r="CL17" s="118"/>
      <c r="CM17" s="118"/>
      <c r="CN17" s="118"/>
      <c r="CO17" s="120"/>
      <c r="CP17" s="120"/>
      <c r="CQ17" s="118"/>
      <c r="CR17" s="121"/>
      <c r="CS17" s="205"/>
      <c r="CT17" s="205"/>
      <c r="CU17" s="121"/>
      <c r="CV17" s="120"/>
      <c r="CW17" s="118"/>
      <c r="CX17" s="118"/>
      <c r="CY17" s="118"/>
      <c r="CZ17" s="118"/>
      <c r="DA17" s="188"/>
      <c r="DC17" s="187"/>
      <c r="DD17" s="118"/>
      <c r="DE17" s="118"/>
      <c r="DF17" s="118"/>
      <c r="DG17" s="118"/>
      <c r="DH17" s="118"/>
      <c r="DI17" s="118"/>
      <c r="DJ17" s="120"/>
      <c r="DK17" s="120"/>
      <c r="DL17" s="120"/>
      <c r="DM17" s="120"/>
      <c r="DN17" s="120"/>
      <c r="DO17" s="120"/>
      <c r="DP17" s="120"/>
      <c r="DQ17" s="120"/>
      <c r="DR17" s="118"/>
      <c r="DS17" s="118"/>
      <c r="DT17" s="118"/>
      <c r="DU17" s="118"/>
      <c r="DV17" s="188"/>
    </row>
    <row r="18" spans="1:126" x14ac:dyDescent="0.2">
      <c r="A18" s="142" t="s">
        <v>381</v>
      </c>
      <c r="AB18" s="176"/>
      <c r="AC18" s="176"/>
      <c r="AD18" s="176"/>
      <c r="AE18" s="176"/>
      <c r="AF18" s="176"/>
      <c r="AG18" s="176"/>
      <c r="AH18" s="176"/>
      <c r="AI18" s="176"/>
      <c r="AJ18" s="178"/>
      <c r="AK18" s="178"/>
      <c r="AL18" s="182"/>
      <c r="AM18" s="182"/>
      <c r="AN18" s="182"/>
      <c r="AO18" s="182"/>
      <c r="AP18" s="182"/>
      <c r="AQ18" s="182"/>
      <c r="AR18" s="182"/>
      <c r="AS18" s="182"/>
      <c r="AT18" s="182"/>
      <c r="AU18" s="182"/>
      <c r="AV18" s="182"/>
      <c r="AW18" s="182"/>
      <c r="AX18" s="182"/>
      <c r="AY18" s="182"/>
      <c r="AZ18" s="182"/>
      <c r="BA18" s="182"/>
      <c r="BB18" s="182"/>
      <c r="BC18" s="182"/>
      <c r="BD18" s="182"/>
      <c r="BE18" s="182"/>
      <c r="BF18" s="178"/>
      <c r="BG18" s="176"/>
      <c r="BH18" s="176"/>
      <c r="BI18" s="176"/>
      <c r="BJ18" s="176"/>
      <c r="BK18" s="176"/>
      <c r="BL18" s="176"/>
      <c r="BM18" s="176"/>
      <c r="BN18" s="176"/>
      <c r="BO18" s="176"/>
      <c r="BP18" s="176"/>
      <c r="BQ18" s="176"/>
      <c r="BR18" s="176"/>
      <c r="BS18" s="176"/>
      <c r="BT18" s="176"/>
      <c r="BU18" s="176"/>
      <c r="BV18" s="176"/>
      <c r="BW18" s="176"/>
      <c r="BX18" s="176"/>
      <c r="BY18" s="176"/>
      <c r="BZ18" s="176"/>
      <c r="CA18" s="176"/>
      <c r="CB18" s="176"/>
      <c r="CC18" s="176"/>
      <c r="CD18" s="176"/>
      <c r="CE18" s="176"/>
      <c r="CF18" s="176"/>
      <c r="CG18" s="176"/>
      <c r="CH18" s="187"/>
      <c r="CI18" s="118"/>
      <c r="CJ18" s="118"/>
      <c r="CK18" s="118"/>
      <c r="CL18" s="118"/>
      <c r="CM18" s="118"/>
      <c r="CN18" s="118"/>
      <c r="CO18" s="120"/>
      <c r="CP18" s="171"/>
      <c r="CQ18" s="171"/>
      <c r="CR18" s="171"/>
      <c r="CS18" s="120"/>
      <c r="CT18" s="120"/>
      <c r="CU18" s="120"/>
      <c r="CV18" s="120"/>
      <c r="CW18" s="118"/>
      <c r="CX18" s="118"/>
      <c r="CY18" s="118"/>
      <c r="CZ18" s="118"/>
      <c r="DA18" s="188"/>
      <c r="DC18" s="187"/>
      <c r="DD18" s="118"/>
      <c r="DE18" s="118"/>
      <c r="DF18" s="118"/>
      <c r="DG18" s="118"/>
      <c r="DH18" s="118"/>
      <c r="DI18" s="118"/>
      <c r="DJ18" s="121"/>
      <c r="DK18" s="120"/>
      <c r="DL18" s="120"/>
      <c r="DM18" s="120"/>
      <c r="DN18" s="205"/>
      <c r="DO18" s="205"/>
      <c r="DP18" s="120"/>
      <c r="DQ18" s="120"/>
      <c r="DR18" s="118"/>
      <c r="DS18" s="118"/>
      <c r="DT18" s="118"/>
      <c r="DU18" s="118"/>
      <c r="DV18" s="188"/>
    </row>
    <row r="19" spans="1:126" x14ac:dyDescent="0.2">
      <c r="A19" s="143" t="s">
        <v>382</v>
      </c>
      <c r="AB19" s="176"/>
      <c r="AC19" s="176"/>
      <c r="AD19" s="176"/>
      <c r="AE19" s="176"/>
      <c r="AF19" s="176"/>
      <c r="AG19" s="176"/>
      <c r="AH19" s="176"/>
      <c r="AI19" s="176"/>
      <c r="AJ19" s="178"/>
      <c r="AK19" s="178"/>
      <c r="AL19" s="182"/>
      <c r="AM19" s="182"/>
      <c r="AN19" s="182"/>
      <c r="AO19" s="182"/>
      <c r="AP19" s="182"/>
      <c r="AQ19" s="182"/>
      <c r="AR19" s="182"/>
      <c r="AS19" s="182"/>
      <c r="AT19" s="182"/>
      <c r="AU19" s="182"/>
      <c r="AV19" s="182"/>
      <c r="AW19" s="182"/>
      <c r="AX19" s="182"/>
      <c r="AY19" s="182"/>
      <c r="AZ19" s="182"/>
      <c r="BA19" s="182"/>
      <c r="BB19" s="182"/>
      <c r="BC19" s="182"/>
      <c r="BD19" s="182"/>
      <c r="BE19" s="182"/>
      <c r="BF19" s="178"/>
      <c r="BG19" s="176"/>
      <c r="BH19" s="176"/>
      <c r="BI19" s="176"/>
      <c r="BJ19" s="176"/>
      <c r="BK19" s="176"/>
      <c r="BL19" s="176"/>
      <c r="BM19" s="176"/>
      <c r="BN19" s="176"/>
      <c r="BO19" s="176"/>
      <c r="BP19" s="176"/>
      <c r="BQ19" s="176"/>
      <c r="BR19" s="176"/>
      <c r="BS19" s="176"/>
      <c r="BT19" s="176"/>
      <c r="BU19" s="176"/>
      <c r="BV19" s="176"/>
      <c r="BW19" s="176"/>
      <c r="BX19" s="176"/>
      <c r="BY19" s="176"/>
      <c r="BZ19" s="176"/>
      <c r="CA19" s="176"/>
      <c r="CB19" s="176"/>
      <c r="CC19" s="176"/>
      <c r="CD19" s="176"/>
      <c r="CE19" s="176"/>
      <c r="CF19" s="176"/>
      <c r="CG19" s="176"/>
      <c r="CH19" s="187"/>
      <c r="CI19" s="118"/>
      <c r="CJ19" s="118"/>
      <c r="CK19" s="118"/>
      <c r="CL19" s="118"/>
      <c r="CM19" s="118"/>
      <c r="CN19" s="118"/>
      <c r="CO19" s="120"/>
      <c r="CP19" s="170"/>
      <c r="CQ19" s="170"/>
      <c r="CR19" s="171"/>
      <c r="CS19" s="120"/>
      <c r="CT19" s="120"/>
      <c r="CU19" s="120"/>
      <c r="CV19" s="120"/>
      <c r="CW19" s="118"/>
      <c r="CX19" s="118"/>
      <c r="CY19" s="118"/>
      <c r="CZ19" s="118"/>
      <c r="DA19" s="188"/>
      <c r="DC19" s="187"/>
      <c r="DD19" s="118"/>
      <c r="DE19" s="118"/>
      <c r="DF19" s="118"/>
      <c r="DG19" s="118"/>
      <c r="DH19" s="118"/>
      <c r="DI19" s="118"/>
      <c r="DJ19" s="121"/>
      <c r="DK19" s="170"/>
      <c r="DL19" s="170"/>
      <c r="DM19" s="171"/>
      <c r="DN19" s="120"/>
      <c r="DO19" s="120"/>
      <c r="DP19" s="120"/>
      <c r="DQ19" s="120"/>
      <c r="DR19" s="118"/>
      <c r="DS19" s="118"/>
      <c r="DT19" s="118"/>
      <c r="DU19" s="118"/>
      <c r="DV19" s="188"/>
    </row>
    <row r="20" spans="1:126" x14ac:dyDescent="0.2">
      <c r="A20" s="143" t="s">
        <v>383</v>
      </c>
      <c r="AB20" s="176"/>
      <c r="AC20" s="176"/>
      <c r="AD20" s="176"/>
      <c r="AE20" s="176"/>
      <c r="AF20" s="176"/>
      <c r="AG20" s="176"/>
      <c r="AH20" s="176"/>
      <c r="AI20" s="176"/>
      <c r="AJ20" s="178"/>
      <c r="AK20" s="178"/>
      <c r="AL20" s="182"/>
      <c r="AM20" s="182"/>
      <c r="AN20" s="182"/>
      <c r="AO20" s="182"/>
      <c r="AP20" s="182"/>
      <c r="AQ20" s="182"/>
      <c r="AR20" s="182"/>
      <c r="AS20" s="182"/>
      <c r="AT20" s="182"/>
      <c r="AU20" s="178"/>
      <c r="AV20" s="182"/>
      <c r="AW20" s="182"/>
      <c r="AX20" s="182"/>
      <c r="AY20" s="182"/>
      <c r="AZ20" s="182"/>
      <c r="BA20" s="182"/>
      <c r="BB20" s="182"/>
      <c r="BC20" s="182"/>
      <c r="BD20" s="182"/>
      <c r="BE20" s="182"/>
      <c r="BF20" s="178"/>
      <c r="BG20" s="176"/>
      <c r="BH20" s="176"/>
      <c r="BI20" s="176"/>
      <c r="BJ20" s="176"/>
      <c r="BK20" s="176"/>
      <c r="BL20" s="176"/>
      <c r="BM20" s="176"/>
      <c r="BN20" s="176"/>
      <c r="BO20" s="176"/>
      <c r="BP20" s="176"/>
      <c r="BQ20" s="176"/>
      <c r="BR20" s="176"/>
      <c r="BS20" s="176"/>
      <c r="BT20" s="176"/>
      <c r="BU20" s="176"/>
      <c r="BV20" s="176"/>
      <c r="BW20" s="176"/>
      <c r="BX20" s="176"/>
      <c r="BY20" s="176"/>
      <c r="BZ20" s="176"/>
      <c r="CA20" s="176"/>
      <c r="CB20" s="176"/>
      <c r="CC20" s="176"/>
      <c r="CD20" s="176"/>
      <c r="CE20" s="176"/>
      <c r="CF20" s="176"/>
      <c r="CG20" s="176"/>
      <c r="CH20" s="189"/>
      <c r="CI20" s="190"/>
      <c r="CJ20" s="190"/>
      <c r="CK20" s="190"/>
      <c r="CL20" s="190"/>
      <c r="CM20" s="190"/>
      <c r="CN20" s="190"/>
      <c r="CO20" s="190"/>
      <c r="CP20" s="190"/>
      <c r="CQ20" s="170"/>
      <c r="CR20" s="190"/>
      <c r="CS20" s="190"/>
      <c r="CT20" s="190"/>
      <c r="CU20" s="190"/>
      <c r="CV20" s="190"/>
      <c r="CW20" s="190"/>
      <c r="CX20" s="190"/>
      <c r="CY20" s="190"/>
      <c r="CZ20" s="190"/>
      <c r="DA20" s="191"/>
      <c r="DC20" s="189"/>
      <c r="DD20" s="190"/>
      <c r="DE20" s="190"/>
      <c r="DF20" s="190"/>
      <c r="DG20" s="190"/>
      <c r="DH20" s="190"/>
      <c r="DI20" s="190"/>
      <c r="DJ20" s="190"/>
      <c r="DK20" s="190"/>
      <c r="DL20" s="190"/>
      <c r="DM20" s="190"/>
      <c r="DN20" s="190"/>
      <c r="DO20" s="190"/>
      <c r="DP20" s="190"/>
      <c r="DQ20" s="190"/>
      <c r="DR20" s="190"/>
      <c r="DS20" s="190"/>
      <c r="DT20" s="190"/>
      <c r="DU20" s="190"/>
      <c r="DV20" s="191"/>
    </row>
    <row r="21" spans="1:126" x14ac:dyDescent="0.2">
      <c r="A21" s="143" t="s">
        <v>384</v>
      </c>
      <c r="AB21" s="176"/>
      <c r="AC21" s="176"/>
      <c r="AD21" s="176"/>
      <c r="AE21" s="176"/>
      <c r="AF21" s="176"/>
      <c r="AG21" s="176"/>
      <c r="AH21" s="176"/>
      <c r="AI21" s="176"/>
      <c r="AJ21" s="178"/>
      <c r="AK21" s="178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78"/>
      <c r="BG21" s="176"/>
      <c r="BH21" s="176"/>
      <c r="BI21" s="176"/>
      <c r="BJ21" s="176"/>
      <c r="BK21" s="176"/>
      <c r="BL21" s="176"/>
      <c r="BM21" s="176"/>
      <c r="BN21" s="176"/>
      <c r="BO21" s="176"/>
      <c r="BP21" s="176"/>
      <c r="BQ21" s="176"/>
      <c r="BR21" s="176"/>
      <c r="BS21" s="176"/>
      <c r="BT21" s="176"/>
      <c r="BU21" s="176"/>
      <c r="BV21" s="176"/>
      <c r="BW21" s="176"/>
      <c r="BX21" s="176"/>
      <c r="BY21" s="176"/>
      <c r="BZ21" s="176"/>
      <c r="CA21" s="176"/>
      <c r="CB21" s="176"/>
      <c r="CC21" s="176"/>
      <c r="CD21" s="176"/>
      <c r="CE21" s="176"/>
      <c r="CF21" s="176"/>
      <c r="CG21" s="176">
        <v>2</v>
      </c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C21" s="192"/>
      <c r="DD21" s="193"/>
      <c r="DE21" s="193"/>
      <c r="DF21" s="193"/>
      <c r="DG21" s="193"/>
      <c r="DH21" s="193"/>
      <c r="DI21" s="193"/>
      <c r="DJ21" s="193"/>
      <c r="DK21" s="193"/>
      <c r="DL21" s="193"/>
      <c r="DM21" s="193"/>
      <c r="DN21" s="193"/>
      <c r="DO21" s="193"/>
      <c r="DP21" s="193"/>
      <c r="DQ21" s="194"/>
      <c r="DR21" s="194"/>
      <c r="DS21" s="194"/>
      <c r="DT21" s="194"/>
      <c r="DU21" s="194"/>
      <c r="DV21" s="195"/>
    </row>
    <row r="22" spans="1:126" x14ac:dyDescent="0.2">
      <c r="A22" s="143" t="s">
        <v>385</v>
      </c>
      <c r="AB22" s="176"/>
      <c r="AC22" s="176"/>
      <c r="AD22" s="176"/>
      <c r="AE22" s="176"/>
      <c r="AF22" s="176"/>
      <c r="AG22" s="176"/>
      <c r="AH22" s="176"/>
      <c r="AI22" s="176"/>
      <c r="AJ22" s="178"/>
      <c r="AK22" s="178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78"/>
      <c r="BG22" s="176"/>
      <c r="BH22" s="176"/>
      <c r="BI22" s="176"/>
      <c r="BJ22" s="176"/>
      <c r="BK22" s="176"/>
      <c r="BL22" s="176"/>
      <c r="BM22" s="176"/>
      <c r="BN22" s="176"/>
      <c r="BO22" s="176"/>
      <c r="BP22" s="176"/>
      <c r="BQ22" s="176"/>
      <c r="BR22" s="176"/>
      <c r="BS22" s="176"/>
      <c r="BT22" s="176"/>
      <c r="BU22" s="176"/>
      <c r="BV22" s="176"/>
      <c r="BW22" s="176"/>
      <c r="BX22" s="176"/>
      <c r="BY22" s="176"/>
      <c r="BZ22" s="176"/>
      <c r="CA22" s="176"/>
      <c r="CB22" s="176"/>
      <c r="CC22" s="176"/>
      <c r="CD22" s="176"/>
      <c r="CE22" s="176"/>
      <c r="CF22" s="176"/>
      <c r="CG22" s="176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C22" s="169"/>
      <c r="DD22" s="177"/>
      <c r="DE22" s="177"/>
      <c r="DF22" s="177"/>
      <c r="DG22" s="177"/>
      <c r="DH22" s="177"/>
      <c r="DI22" s="177"/>
      <c r="DJ22" s="177"/>
      <c r="DK22" s="177"/>
      <c r="DL22" s="177"/>
      <c r="DM22" s="177"/>
      <c r="DN22" s="177"/>
      <c r="DO22" s="177"/>
      <c r="DP22" s="177"/>
      <c r="DQ22" s="172"/>
      <c r="DR22" s="172"/>
      <c r="DS22" s="172"/>
      <c r="DT22" s="172"/>
      <c r="DU22" s="172"/>
      <c r="DV22" s="196"/>
    </row>
    <row r="23" spans="1:126" x14ac:dyDescent="0.2">
      <c r="A23" s="143" t="s">
        <v>386</v>
      </c>
      <c r="AB23" s="176"/>
      <c r="AC23" s="176"/>
      <c r="AD23" s="176"/>
      <c r="AE23" s="176"/>
      <c r="AF23" s="176"/>
      <c r="AG23" s="176"/>
      <c r="AH23" s="176"/>
      <c r="AI23" s="176"/>
      <c r="AJ23" s="178"/>
      <c r="AK23" s="178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78"/>
      <c r="BG23" s="176"/>
      <c r="BH23" s="176"/>
      <c r="BI23" s="176"/>
      <c r="BJ23" s="176"/>
      <c r="BK23" s="176"/>
      <c r="BL23" s="176"/>
      <c r="BM23" s="176"/>
      <c r="BN23" s="176"/>
      <c r="BO23" s="176"/>
      <c r="BP23" s="176"/>
      <c r="BQ23" s="176"/>
      <c r="BR23" s="176"/>
      <c r="BS23" s="176"/>
      <c r="BT23" s="176"/>
      <c r="BU23" s="176"/>
      <c r="BV23" s="176"/>
      <c r="BW23" s="176"/>
      <c r="BX23" s="176"/>
      <c r="BY23" s="176"/>
      <c r="BZ23" s="176"/>
      <c r="CA23" s="176"/>
      <c r="CB23" s="176"/>
      <c r="CC23" s="176"/>
      <c r="CD23" s="176"/>
      <c r="CE23" s="176"/>
      <c r="CF23" s="176"/>
      <c r="CG23" s="131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C23" s="169"/>
      <c r="DD23" s="177"/>
      <c r="DE23" s="177"/>
      <c r="DF23" s="177"/>
      <c r="DG23" s="177"/>
      <c r="DH23" s="177"/>
      <c r="DI23" s="177"/>
      <c r="DJ23" s="177"/>
      <c r="DK23" s="177"/>
      <c r="DL23" s="177"/>
      <c r="DM23" s="177"/>
      <c r="DN23" s="177"/>
      <c r="DO23" s="177"/>
      <c r="DP23" s="177"/>
      <c r="DQ23" s="172"/>
      <c r="DR23" s="172"/>
      <c r="DS23" s="172"/>
      <c r="DT23" s="172"/>
      <c r="DU23" s="172"/>
      <c r="DV23" s="196"/>
    </row>
    <row r="24" spans="1:126" x14ac:dyDescent="0.2">
      <c r="A24" s="143" t="s">
        <v>387</v>
      </c>
      <c r="AB24" s="176"/>
      <c r="AC24" s="176"/>
      <c r="AD24" s="176"/>
      <c r="AE24" s="176"/>
      <c r="AF24" s="176"/>
      <c r="AG24" s="176"/>
      <c r="AH24" s="176"/>
      <c r="AI24" s="176"/>
      <c r="AJ24" s="178"/>
      <c r="AK24" s="178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78"/>
      <c r="BG24" s="176"/>
      <c r="BH24" s="176"/>
      <c r="BI24" s="176"/>
      <c r="BJ24" s="176"/>
      <c r="BK24" s="176"/>
      <c r="BL24" s="176"/>
      <c r="BM24" s="176"/>
      <c r="BN24" s="176"/>
      <c r="BO24" s="176"/>
      <c r="BP24" s="176"/>
      <c r="BQ24" s="176"/>
      <c r="BR24" s="176"/>
      <c r="BS24" s="176"/>
      <c r="BT24" s="176"/>
      <c r="BU24" s="176"/>
      <c r="BV24" s="176"/>
      <c r="BW24" s="176"/>
      <c r="BX24" s="176"/>
      <c r="BY24" s="176"/>
      <c r="BZ24" s="176"/>
      <c r="CA24" s="176"/>
      <c r="CB24" s="176"/>
      <c r="CC24" s="176"/>
      <c r="CD24" s="176"/>
      <c r="CE24" s="176"/>
      <c r="CF24" s="176"/>
      <c r="CG24" s="176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C24" s="169"/>
      <c r="DD24" s="177"/>
      <c r="DE24" s="177"/>
      <c r="DF24" s="177"/>
      <c r="DG24" s="177"/>
      <c r="DH24" s="177"/>
      <c r="DI24" s="177"/>
      <c r="DJ24" s="177"/>
      <c r="DK24" s="177"/>
      <c r="DL24" s="177"/>
      <c r="DM24" s="177"/>
      <c r="DN24" s="177"/>
      <c r="DO24" s="177"/>
      <c r="DP24" s="177"/>
      <c r="DQ24" s="172"/>
      <c r="DR24" s="172"/>
      <c r="DS24" s="172"/>
      <c r="DT24" s="172"/>
      <c r="DU24" s="172"/>
      <c r="DV24" s="196"/>
    </row>
    <row r="25" spans="1:126" x14ac:dyDescent="0.2">
      <c r="A25" s="143" t="s">
        <v>388</v>
      </c>
      <c r="AB25" s="176"/>
      <c r="AC25" s="176"/>
      <c r="AD25" s="176"/>
      <c r="AE25" s="176"/>
      <c r="AF25" s="176"/>
      <c r="AG25" s="176"/>
      <c r="AH25" s="176"/>
      <c r="AI25" s="176"/>
      <c r="AJ25" s="178"/>
      <c r="AK25" s="178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78"/>
      <c r="BG25" s="176"/>
      <c r="BH25" s="176"/>
      <c r="BI25" s="176"/>
      <c r="BJ25" s="176"/>
      <c r="BK25" s="176"/>
      <c r="BL25" s="176"/>
      <c r="BM25" s="176"/>
      <c r="BN25" s="176"/>
      <c r="BO25" s="176"/>
      <c r="BP25" s="176"/>
      <c r="BQ25" s="176"/>
      <c r="BR25" s="176"/>
      <c r="BS25" s="176"/>
      <c r="BT25" s="176"/>
      <c r="BU25" s="176"/>
      <c r="BV25" s="176"/>
      <c r="BW25" s="176"/>
      <c r="BX25" s="176"/>
      <c r="BY25" s="176"/>
      <c r="BZ25" s="176"/>
      <c r="CA25" s="176"/>
      <c r="CB25" s="176"/>
      <c r="CC25" s="176"/>
      <c r="CD25" s="176"/>
      <c r="CE25" s="176"/>
      <c r="CF25" s="176"/>
      <c r="CG25" s="17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C25" s="169"/>
      <c r="DD25" s="177"/>
      <c r="DE25" s="177"/>
      <c r="DF25" s="177"/>
      <c r="DG25" s="177"/>
      <c r="DH25" s="177"/>
      <c r="DI25" s="177"/>
      <c r="DJ25" s="177"/>
      <c r="DK25" s="177"/>
      <c r="DL25" s="177"/>
      <c r="DM25" s="177"/>
      <c r="DN25" s="177"/>
      <c r="DO25" s="177"/>
      <c r="DP25" s="177"/>
      <c r="DQ25" s="172"/>
      <c r="DR25" s="172"/>
      <c r="DS25" s="172"/>
      <c r="DT25" s="172"/>
      <c r="DU25" s="172"/>
      <c r="DV25" s="196"/>
    </row>
    <row r="26" spans="1:126" x14ac:dyDescent="0.2">
      <c r="A26" s="143" t="s">
        <v>389</v>
      </c>
      <c r="AB26" s="176"/>
      <c r="AC26" s="176"/>
      <c r="AD26" s="176"/>
      <c r="AE26" s="176"/>
      <c r="AF26" s="176"/>
      <c r="AG26" s="176"/>
      <c r="AH26" s="176"/>
      <c r="AI26" s="176"/>
      <c r="AJ26" s="178"/>
      <c r="AK26" s="178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78"/>
      <c r="BG26" s="176"/>
      <c r="BH26" s="176"/>
      <c r="BI26" s="176"/>
      <c r="BJ26" s="176"/>
      <c r="BK26" s="176"/>
      <c r="BL26" s="176"/>
      <c r="BM26" s="176"/>
      <c r="BN26" s="176"/>
      <c r="BO26" s="176"/>
      <c r="BP26" s="176"/>
      <c r="BQ26" s="176"/>
      <c r="BR26" s="176"/>
      <c r="BS26" s="176"/>
      <c r="BT26" s="176"/>
      <c r="BU26" s="176"/>
      <c r="BV26" s="176"/>
      <c r="BW26" s="176"/>
      <c r="BX26" s="176"/>
      <c r="BY26" s="176"/>
      <c r="BZ26" s="176"/>
      <c r="CA26" s="176"/>
      <c r="CB26" s="176"/>
      <c r="CC26" s="176"/>
      <c r="CD26" s="176"/>
      <c r="CE26" s="176"/>
      <c r="CF26" s="176"/>
      <c r="CG26" s="179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C26" s="169"/>
      <c r="DD26" s="177"/>
      <c r="DE26" s="177"/>
      <c r="DF26" s="177"/>
      <c r="DG26" s="177"/>
      <c r="DH26" s="177"/>
      <c r="DI26" s="177"/>
      <c r="DJ26" s="177"/>
      <c r="DK26" s="177"/>
      <c r="DL26" s="177"/>
      <c r="DM26" s="177"/>
      <c r="DN26" s="177"/>
      <c r="DO26" s="177"/>
      <c r="DP26" s="177"/>
      <c r="DQ26" s="172"/>
      <c r="DR26" s="172"/>
      <c r="DS26" s="172"/>
      <c r="DT26" s="172"/>
      <c r="DU26" s="172"/>
      <c r="DV26" s="196"/>
    </row>
    <row r="27" spans="1:126" x14ac:dyDescent="0.2">
      <c r="A27" s="143" t="s">
        <v>390</v>
      </c>
      <c r="AB27" s="176"/>
      <c r="AC27" s="176"/>
      <c r="AD27" s="176"/>
      <c r="AE27" s="176"/>
      <c r="AF27" s="176"/>
      <c r="AG27" s="176"/>
      <c r="AH27" s="176"/>
      <c r="AI27" s="176"/>
      <c r="AJ27" s="178"/>
      <c r="AK27" s="178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78"/>
      <c r="BG27" s="176"/>
      <c r="BH27" s="176"/>
      <c r="BI27" s="176"/>
      <c r="BJ27" s="176"/>
      <c r="BK27" s="176"/>
      <c r="BL27" s="176"/>
      <c r="BM27" s="176"/>
      <c r="BN27" s="176"/>
      <c r="BO27" s="176"/>
      <c r="BP27" s="176"/>
      <c r="BQ27" s="176"/>
      <c r="BR27" s="176"/>
      <c r="BS27" s="176"/>
      <c r="BT27" s="176"/>
      <c r="BU27" s="176"/>
      <c r="BV27" s="176"/>
      <c r="BW27" s="176"/>
      <c r="BX27" s="176"/>
      <c r="BY27" s="176"/>
      <c r="BZ27" s="176"/>
      <c r="CA27" s="176"/>
      <c r="CB27" s="176"/>
      <c r="CC27" s="176"/>
      <c r="CD27" s="176"/>
      <c r="CE27" s="176"/>
      <c r="CF27" s="176"/>
      <c r="CG27" s="179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C27" s="169"/>
      <c r="DD27" s="177"/>
      <c r="DE27" s="177"/>
      <c r="DF27" s="177"/>
      <c r="DG27" s="177"/>
      <c r="DH27" s="177"/>
      <c r="DI27" s="177"/>
      <c r="DJ27" s="177"/>
      <c r="DK27" s="177"/>
      <c r="DL27" s="177"/>
      <c r="DM27" s="177"/>
      <c r="DN27" s="177"/>
      <c r="DO27" s="177"/>
      <c r="DP27" s="177"/>
      <c r="DQ27" s="172"/>
      <c r="DR27" s="172"/>
      <c r="DS27" s="172"/>
      <c r="DT27" s="172"/>
      <c r="DU27" s="172"/>
      <c r="DV27" s="196"/>
    </row>
    <row r="28" spans="1:126" x14ac:dyDescent="0.2">
      <c r="A28" s="143" t="s">
        <v>391</v>
      </c>
      <c r="AB28" s="176"/>
      <c r="AC28" s="176"/>
      <c r="AD28" s="176"/>
      <c r="AE28" s="176"/>
      <c r="AF28" s="176"/>
      <c r="AG28" s="176"/>
      <c r="AH28" s="176"/>
      <c r="AI28" s="176"/>
      <c r="AJ28" s="178"/>
      <c r="AK28" s="178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78"/>
      <c r="BG28" s="176"/>
      <c r="BH28" s="176"/>
      <c r="BI28" s="176"/>
      <c r="BJ28" s="176"/>
      <c r="BK28" s="176"/>
      <c r="BL28" s="176"/>
      <c r="BM28" s="176"/>
      <c r="BN28" s="176"/>
      <c r="BO28" s="176"/>
      <c r="BP28" s="176"/>
      <c r="BQ28" s="176"/>
      <c r="BR28" s="176"/>
      <c r="BS28" s="176"/>
      <c r="BT28" s="176"/>
      <c r="BU28" s="176"/>
      <c r="BV28" s="176"/>
      <c r="BW28" s="176"/>
      <c r="BX28" s="176"/>
      <c r="BY28" s="176"/>
      <c r="BZ28" s="176"/>
      <c r="CA28" s="176"/>
      <c r="CB28" s="176"/>
      <c r="CC28" s="176"/>
      <c r="CD28" s="176"/>
      <c r="CE28" s="176"/>
      <c r="CF28" s="176"/>
      <c r="CG28" s="179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C28" s="169"/>
      <c r="DD28" s="177"/>
      <c r="DE28" s="177"/>
      <c r="DF28" s="177"/>
      <c r="DG28" s="177"/>
      <c r="DH28" s="177"/>
      <c r="DI28" s="177"/>
      <c r="DJ28" s="177"/>
      <c r="DK28" s="177"/>
      <c r="DL28" s="177"/>
      <c r="DM28" s="177"/>
      <c r="DN28" s="177"/>
      <c r="DO28" s="177"/>
      <c r="DP28" s="177"/>
      <c r="DQ28" s="172"/>
      <c r="DR28" s="172"/>
      <c r="DS28" s="172"/>
      <c r="DT28" s="172"/>
      <c r="DU28" s="172"/>
      <c r="DV28" s="196"/>
    </row>
    <row r="29" spans="1:126" x14ac:dyDescent="0.2">
      <c r="A29" s="143" t="s">
        <v>392</v>
      </c>
      <c r="AB29" s="176"/>
      <c r="AC29" s="176"/>
      <c r="AD29" s="176"/>
      <c r="AE29" s="176"/>
      <c r="AF29" s="176"/>
      <c r="AG29" s="176"/>
      <c r="AH29" s="176"/>
      <c r="AI29" s="176"/>
      <c r="AJ29" s="178"/>
      <c r="AK29" s="178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78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6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9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C29" s="169"/>
      <c r="DD29" s="177"/>
      <c r="DE29" s="177"/>
      <c r="DF29" s="177"/>
      <c r="DG29" s="177"/>
      <c r="DH29" s="177"/>
      <c r="DI29" s="177"/>
      <c r="DJ29" s="177"/>
      <c r="DK29" s="177"/>
      <c r="DL29" s="177"/>
      <c r="DM29" s="177"/>
      <c r="DN29" s="177"/>
      <c r="DO29" s="177"/>
      <c r="DP29" s="177"/>
      <c r="DQ29" s="172"/>
      <c r="DR29" s="172"/>
      <c r="DS29" s="172"/>
      <c r="DT29" s="172"/>
      <c r="DU29" s="172"/>
      <c r="DV29" s="196"/>
    </row>
    <row r="30" spans="1:126" x14ac:dyDescent="0.2">
      <c r="A30" s="143" t="s">
        <v>393</v>
      </c>
      <c r="AB30" s="176"/>
      <c r="AC30" s="176"/>
      <c r="AD30" s="176"/>
      <c r="AE30" s="176"/>
      <c r="AF30" s="176"/>
      <c r="AG30" s="176"/>
      <c r="AH30" s="176"/>
      <c r="AI30" s="176"/>
      <c r="AJ30" s="178"/>
      <c r="AK30" s="178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78"/>
      <c r="BG30" s="176"/>
      <c r="BH30" s="176"/>
      <c r="BI30" s="176"/>
      <c r="BJ30" s="176"/>
      <c r="BK30" s="176"/>
      <c r="BL30" s="176"/>
      <c r="BM30" s="176"/>
      <c r="BN30" s="176"/>
      <c r="BO30" s="176"/>
      <c r="BP30" s="176"/>
      <c r="BQ30" s="176"/>
      <c r="BR30" s="176"/>
      <c r="BS30" s="176"/>
      <c r="BT30" s="176"/>
      <c r="BU30" s="176"/>
      <c r="BV30" s="176"/>
      <c r="BW30" s="176"/>
      <c r="BX30" s="176"/>
      <c r="BY30" s="176"/>
      <c r="BZ30" s="176"/>
      <c r="CA30" s="176"/>
      <c r="CB30" s="176"/>
      <c r="CC30" s="176"/>
      <c r="CD30" s="176"/>
      <c r="CE30" s="176"/>
      <c r="CF30" s="176"/>
      <c r="CG30" s="179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C30" s="169"/>
      <c r="DD30" s="177"/>
      <c r="DE30" s="177"/>
      <c r="DF30" s="177"/>
      <c r="DG30" s="177"/>
      <c r="DH30" s="177"/>
      <c r="DI30" s="177"/>
      <c r="DJ30" s="177"/>
      <c r="DK30" s="177"/>
      <c r="DL30" s="177"/>
      <c r="DM30" s="177"/>
      <c r="DN30" s="177"/>
      <c r="DO30" s="177"/>
      <c r="DP30" s="177"/>
      <c r="DQ30" s="172"/>
      <c r="DR30" s="172"/>
      <c r="DS30" s="172"/>
      <c r="DT30" s="172"/>
      <c r="DU30" s="172"/>
      <c r="DV30" s="196"/>
    </row>
    <row r="31" spans="1:126" x14ac:dyDescent="0.2">
      <c r="A31" s="143" t="s">
        <v>394</v>
      </c>
      <c r="AB31" s="176"/>
      <c r="AC31" s="176"/>
      <c r="AD31" s="176"/>
      <c r="AE31" s="176"/>
      <c r="AF31" s="176"/>
      <c r="AG31" s="176"/>
      <c r="AH31" s="176"/>
      <c r="AI31" s="176"/>
      <c r="AJ31" s="178"/>
      <c r="AK31" s="178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78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176"/>
      <c r="BV31" s="176"/>
      <c r="BW31" s="176"/>
      <c r="BX31" s="176"/>
      <c r="BY31" s="176"/>
      <c r="BZ31" s="176"/>
      <c r="CA31" s="176"/>
      <c r="CB31" s="176"/>
      <c r="CC31" s="176"/>
      <c r="CD31" s="176"/>
      <c r="CE31" s="176"/>
      <c r="CF31" s="176"/>
      <c r="CG31" s="179"/>
      <c r="CH31" s="118"/>
      <c r="CI31" s="118"/>
      <c r="CJ31" s="118"/>
      <c r="CK31" s="118"/>
      <c r="CL31" s="118"/>
      <c r="CM31" s="223"/>
      <c r="CN31" s="121"/>
      <c r="CO31" s="120"/>
      <c r="CP31" s="120"/>
      <c r="CQ31" s="120"/>
      <c r="CR31" s="120"/>
      <c r="CS31" s="121"/>
      <c r="CT31" s="121"/>
      <c r="CU31" s="121"/>
      <c r="CV31" s="121"/>
      <c r="CW31" s="118"/>
      <c r="CX31" s="118"/>
      <c r="CY31" s="118"/>
      <c r="CZ31" s="118"/>
      <c r="DA31" s="118"/>
      <c r="DC31" s="169"/>
      <c r="DD31" s="177"/>
      <c r="DE31" s="177"/>
      <c r="DF31" s="177"/>
      <c r="DG31" s="177"/>
      <c r="DH31" s="177"/>
      <c r="DI31" s="177"/>
      <c r="DJ31" s="177"/>
      <c r="DK31" s="177"/>
      <c r="DL31" s="177"/>
      <c r="DM31" s="177"/>
      <c r="DN31" s="177"/>
      <c r="DO31" s="177"/>
      <c r="DP31" s="177"/>
      <c r="DQ31" s="172"/>
      <c r="DR31" s="172"/>
      <c r="DS31" s="172"/>
      <c r="DT31" s="172"/>
      <c r="DU31" s="172"/>
      <c r="DV31" s="196"/>
    </row>
    <row r="32" spans="1:126" x14ac:dyDescent="0.2">
      <c r="A32" s="143" t="s">
        <v>395</v>
      </c>
      <c r="AB32" s="176"/>
      <c r="AC32" s="176"/>
      <c r="AD32" s="176"/>
      <c r="AE32" s="176"/>
      <c r="AF32" s="176"/>
      <c r="AG32" s="176"/>
      <c r="AH32" s="176"/>
      <c r="AI32" s="176"/>
      <c r="AJ32" s="178"/>
      <c r="AK32" s="178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78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176"/>
      <c r="BV32" s="176"/>
      <c r="BW32" s="176"/>
      <c r="BX32" s="176"/>
      <c r="BY32" s="176"/>
      <c r="BZ32" s="176"/>
      <c r="CA32" s="176"/>
      <c r="CB32" s="176"/>
      <c r="CC32" s="176"/>
      <c r="CD32" s="176"/>
      <c r="CE32" s="176"/>
      <c r="CF32" s="176"/>
      <c r="CG32" s="179"/>
      <c r="CH32" s="118"/>
      <c r="CI32" s="118"/>
      <c r="CJ32" s="118"/>
      <c r="CK32" s="118"/>
      <c r="CL32" s="118"/>
      <c r="CM32" s="120"/>
      <c r="CN32" s="120"/>
      <c r="CO32" s="120"/>
      <c r="CP32" s="120"/>
      <c r="CQ32" s="120"/>
      <c r="CR32" s="120"/>
      <c r="CS32" s="120"/>
      <c r="CT32" s="120"/>
      <c r="CU32" s="120"/>
      <c r="CV32" s="120"/>
      <c r="CW32" s="118"/>
      <c r="CX32" s="118"/>
      <c r="CY32" s="118"/>
      <c r="CZ32" s="118"/>
      <c r="DA32" s="118"/>
      <c r="DC32" s="169"/>
      <c r="DD32" s="177"/>
      <c r="DE32" s="177"/>
      <c r="DF32" s="177"/>
      <c r="DG32" s="177"/>
      <c r="DH32" s="177"/>
      <c r="DI32" s="177"/>
      <c r="DJ32" s="177"/>
      <c r="DK32" s="177"/>
      <c r="DL32" s="177"/>
      <c r="DM32" s="177"/>
      <c r="DN32" s="177"/>
      <c r="DO32" s="177"/>
      <c r="DP32" s="177"/>
      <c r="DQ32" s="172"/>
      <c r="DR32" s="172"/>
      <c r="DS32" s="172"/>
      <c r="DT32" s="172"/>
      <c r="DU32" s="172"/>
      <c r="DV32" s="196"/>
    </row>
    <row r="33" spans="1:126" x14ac:dyDescent="0.2">
      <c r="A33" s="143" t="s">
        <v>396</v>
      </c>
      <c r="AB33" s="176"/>
      <c r="AC33" s="176"/>
      <c r="AD33" s="176"/>
      <c r="AE33" s="176"/>
      <c r="AF33" s="176"/>
      <c r="AG33" s="176"/>
      <c r="AH33" s="176"/>
      <c r="AI33" s="176"/>
      <c r="AJ33" s="178"/>
      <c r="AK33" s="178"/>
      <c r="AL33" s="182"/>
      <c r="AM33" s="182"/>
      <c r="AN33" s="182"/>
      <c r="AO33" s="182"/>
      <c r="AP33" s="182"/>
      <c r="AQ33" s="182"/>
      <c r="AR33" s="182"/>
      <c r="AS33" s="182"/>
      <c r="AT33" s="182"/>
      <c r="AU33" s="182"/>
      <c r="AV33" s="182"/>
      <c r="AW33" s="182"/>
      <c r="AX33" s="182"/>
      <c r="AY33" s="182"/>
      <c r="AZ33" s="182"/>
      <c r="BA33" s="182"/>
      <c r="BB33" s="182"/>
      <c r="BC33" s="182"/>
      <c r="BD33" s="182"/>
      <c r="BE33" s="182"/>
      <c r="BF33" s="178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176"/>
      <c r="BV33" s="176"/>
      <c r="BW33" s="176"/>
      <c r="BX33" s="176"/>
      <c r="BY33" s="176"/>
      <c r="BZ33" s="176"/>
      <c r="CA33" s="176"/>
      <c r="CB33" s="176"/>
      <c r="CC33" s="176"/>
      <c r="CD33" s="176"/>
      <c r="CE33" s="176"/>
      <c r="CF33" s="176"/>
      <c r="CG33" s="179"/>
      <c r="CH33" s="118"/>
      <c r="CI33" s="118"/>
      <c r="CJ33" s="118"/>
      <c r="CK33" s="118"/>
      <c r="CL33" s="118"/>
      <c r="CM33" s="120"/>
      <c r="CN33" s="120"/>
      <c r="CO33" s="120"/>
      <c r="CP33" s="120"/>
      <c r="CQ33" s="120"/>
      <c r="CR33" s="122"/>
      <c r="CS33" s="121" t="s">
        <v>101</v>
      </c>
      <c r="CT33" s="121"/>
      <c r="CU33" s="121"/>
      <c r="CV33" s="121"/>
      <c r="CW33" s="118"/>
      <c r="CX33" s="118"/>
      <c r="CY33" s="118"/>
      <c r="CZ33" s="118"/>
      <c r="DA33" s="118"/>
      <c r="DC33" s="197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  <c r="DQ33" s="173"/>
      <c r="DR33" s="173"/>
      <c r="DS33" s="173"/>
      <c r="DT33" s="173"/>
      <c r="DU33" s="173"/>
      <c r="DV33" s="198"/>
    </row>
    <row r="34" spans="1:126" x14ac:dyDescent="0.2">
      <c r="A34" s="143" t="s">
        <v>397</v>
      </c>
      <c r="AB34" s="176"/>
      <c r="AC34" s="176"/>
      <c r="AD34" s="176"/>
      <c r="AE34" s="176"/>
      <c r="AF34" s="176"/>
      <c r="AG34" s="176"/>
      <c r="AH34" s="176"/>
      <c r="AI34" s="176"/>
      <c r="AJ34" s="178"/>
      <c r="AK34" s="178"/>
      <c r="AL34" s="182"/>
      <c r="AM34" s="182"/>
      <c r="AN34" s="182"/>
      <c r="AO34" s="182"/>
      <c r="AP34" s="182"/>
      <c r="AQ34" s="182"/>
      <c r="AR34" s="182"/>
      <c r="AS34" s="182"/>
      <c r="AT34" s="182"/>
      <c r="AU34" s="182"/>
      <c r="AV34" s="182"/>
      <c r="AW34" s="182"/>
      <c r="AX34" s="182"/>
      <c r="AY34" s="182"/>
      <c r="AZ34" s="182"/>
      <c r="BA34" s="182"/>
      <c r="BB34" s="182"/>
      <c r="BC34" s="182"/>
      <c r="BD34" s="182"/>
      <c r="BE34" s="182"/>
      <c r="BF34" s="178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9"/>
      <c r="CH34" s="118"/>
      <c r="CI34" s="118"/>
      <c r="CJ34" s="118"/>
      <c r="CK34" s="118"/>
      <c r="CL34" s="118"/>
      <c r="CM34" s="120"/>
      <c r="CN34" s="120"/>
      <c r="CO34" s="120"/>
      <c r="CP34" s="120"/>
      <c r="CQ34" s="120"/>
      <c r="CR34" s="120"/>
      <c r="CS34" s="120"/>
      <c r="CT34" s="120"/>
      <c r="CU34" s="120"/>
      <c r="CV34" s="120"/>
      <c r="CW34" s="118"/>
      <c r="CX34" s="118"/>
      <c r="CY34" s="118"/>
      <c r="CZ34" s="118"/>
      <c r="DA34" s="118"/>
      <c r="DC34" s="197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  <c r="DQ34" s="173"/>
      <c r="DR34" s="173"/>
      <c r="DS34" s="173"/>
      <c r="DT34" s="173"/>
      <c r="DU34" s="173"/>
      <c r="DV34" s="198"/>
    </row>
    <row r="35" spans="1:126" x14ac:dyDescent="0.2">
      <c r="A35" s="143" t="s">
        <v>398</v>
      </c>
      <c r="AB35" s="176"/>
      <c r="AC35" s="176"/>
      <c r="AD35" s="176"/>
      <c r="AE35" s="176"/>
      <c r="AF35" s="176"/>
      <c r="AG35" s="176"/>
      <c r="AH35" s="176"/>
      <c r="AI35" s="176"/>
      <c r="AJ35" s="178"/>
      <c r="AK35" s="178"/>
      <c r="AL35" s="182"/>
      <c r="AM35" s="182"/>
      <c r="AN35" s="182"/>
      <c r="AO35" s="182"/>
      <c r="AP35" s="182"/>
      <c r="AQ35" s="182"/>
      <c r="AR35" s="182"/>
      <c r="AS35" s="182"/>
      <c r="AT35" s="182"/>
      <c r="AU35" s="182"/>
      <c r="AV35" s="182"/>
      <c r="AW35" s="182"/>
      <c r="AX35" s="182"/>
      <c r="AY35" s="182"/>
      <c r="AZ35" s="182"/>
      <c r="BA35" s="182"/>
      <c r="BB35" s="182"/>
      <c r="BC35" s="182"/>
      <c r="BD35" s="182"/>
      <c r="BE35" s="182"/>
      <c r="BF35" s="178"/>
      <c r="BG35" s="176"/>
      <c r="BH35" s="176"/>
      <c r="BI35" s="176"/>
      <c r="BJ35" s="176"/>
      <c r="BK35" s="176"/>
      <c r="BL35" s="176"/>
      <c r="BM35" s="176"/>
      <c r="BN35" s="176"/>
      <c r="BO35" s="176"/>
      <c r="BP35" s="176"/>
      <c r="BQ35" s="176"/>
      <c r="BR35" s="176"/>
      <c r="BS35" s="176"/>
      <c r="BT35" s="176"/>
      <c r="BU35" s="176"/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9"/>
      <c r="CH35" s="118"/>
      <c r="CI35" s="118"/>
      <c r="CJ35" s="118"/>
      <c r="CK35" s="118"/>
      <c r="CL35" s="118"/>
      <c r="CM35" s="120"/>
      <c r="CN35" s="120"/>
      <c r="CO35" s="120"/>
      <c r="CP35" s="120"/>
      <c r="CQ35" s="120"/>
      <c r="CR35" s="120"/>
      <c r="CS35" s="120"/>
      <c r="CT35" s="120"/>
      <c r="CU35" s="120"/>
      <c r="CV35" s="120"/>
      <c r="CW35" s="118"/>
      <c r="CX35" s="118"/>
      <c r="CY35" s="118"/>
      <c r="CZ35" s="118"/>
      <c r="DA35" s="118"/>
      <c r="DC35" s="197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  <c r="DQ35" s="173"/>
      <c r="DR35" s="173"/>
      <c r="DS35" s="173"/>
      <c r="DT35" s="173"/>
      <c r="DU35" s="173"/>
      <c r="DV35" s="198"/>
    </row>
    <row r="36" spans="1:126" x14ac:dyDescent="0.2">
      <c r="A36" s="143" t="s">
        <v>399</v>
      </c>
      <c r="AB36" s="176"/>
      <c r="AC36" s="176"/>
      <c r="AD36" s="176"/>
      <c r="AE36" s="176"/>
      <c r="AF36" s="176"/>
      <c r="AG36" s="176"/>
      <c r="AH36" s="176"/>
      <c r="AI36" s="176"/>
      <c r="AJ36" s="178"/>
      <c r="AK36" s="178"/>
      <c r="AL36" s="182"/>
      <c r="AM36" s="182"/>
      <c r="AN36" s="182"/>
      <c r="AO36" s="182"/>
      <c r="AP36" s="182"/>
      <c r="AQ36" s="182"/>
      <c r="AR36" s="182"/>
      <c r="AS36" s="182"/>
      <c r="AT36" s="182"/>
      <c r="AU36" s="182"/>
      <c r="AV36" s="182"/>
      <c r="AW36" s="182"/>
      <c r="AX36" s="182"/>
      <c r="AY36" s="182"/>
      <c r="AZ36" s="182"/>
      <c r="BA36" s="182"/>
      <c r="BB36" s="182"/>
      <c r="BC36" s="182"/>
      <c r="BD36" s="182"/>
      <c r="BE36" s="182"/>
      <c r="BF36" s="178"/>
      <c r="BG36" s="176"/>
      <c r="BH36" s="176"/>
      <c r="BI36" s="176"/>
      <c r="BJ36" s="176"/>
      <c r="BK36" s="176"/>
      <c r="BL36" s="176"/>
      <c r="BM36" s="176"/>
      <c r="BN36" s="176"/>
      <c r="BO36" s="176"/>
      <c r="BP36" s="176"/>
      <c r="BQ36" s="176"/>
      <c r="BR36" s="176"/>
      <c r="BS36" s="176"/>
      <c r="BT36" s="176"/>
      <c r="BU36" s="176"/>
      <c r="BV36" s="176"/>
      <c r="BW36" s="176"/>
      <c r="BX36" s="176"/>
      <c r="BY36" s="176"/>
      <c r="BZ36" s="176"/>
      <c r="CA36" s="176"/>
      <c r="CB36" s="176"/>
      <c r="CC36" s="176"/>
      <c r="CD36" s="176"/>
      <c r="CE36" s="176"/>
      <c r="CF36" s="176"/>
      <c r="CG36" s="179"/>
      <c r="CH36" s="118"/>
      <c r="CI36" s="118"/>
      <c r="CJ36" s="118"/>
      <c r="CK36" s="118"/>
      <c r="CL36" s="118"/>
      <c r="CM36" s="120"/>
      <c r="CN36" s="120"/>
      <c r="CO36" s="120"/>
      <c r="CP36" s="120"/>
      <c r="CQ36" s="120"/>
      <c r="CR36" s="120"/>
      <c r="CS36" s="120"/>
      <c r="CT36" s="120"/>
      <c r="CU36" s="120"/>
      <c r="CV36" s="120"/>
      <c r="CW36" s="118"/>
      <c r="CX36" s="118"/>
      <c r="CY36" s="118"/>
      <c r="CZ36" s="118"/>
      <c r="DA36" s="118"/>
      <c r="DC36" s="197"/>
      <c r="DD36" s="180"/>
      <c r="DE36" s="180"/>
      <c r="DF36" s="180"/>
      <c r="DG36" s="180"/>
      <c r="DH36" s="180"/>
      <c r="DI36" s="180"/>
      <c r="DJ36" s="180"/>
      <c r="DK36" s="180"/>
      <c r="DL36" s="180"/>
      <c r="DM36" s="180"/>
      <c r="DN36" s="180"/>
      <c r="DO36" s="180"/>
      <c r="DP36" s="180"/>
      <c r="DQ36" s="173"/>
      <c r="DR36" s="173"/>
      <c r="DS36" s="173"/>
      <c r="DT36" s="173"/>
      <c r="DU36" s="173"/>
      <c r="DV36" s="198"/>
    </row>
    <row r="37" spans="1:126" x14ac:dyDescent="0.2">
      <c r="A37" s="144" t="s">
        <v>400</v>
      </c>
      <c r="AJ37" s="133"/>
      <c r="AK37" s="133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33"/>
      <c r="CG37" s="179"/>
      <c r="CH37" s="118"/>
      <c r="CI37" s="118"/>
      <c r="CJ37" s="118"/>
      <c r="CK37" s="118"/>
      <c r="CL37" s="118"/>
      <c r="CM37" s="121"/>
      <c r="CN37" s="121"/>
      <c r="CO37" s="121"/>
      <c r="CP37" s="121"/>
      <c r="CQ37" s="120"/>
      <c r="CR37" s="120"/>
      <c r="CS37" s="121"/>
      <c r="CT37" s="121"/>
      <c r="CU37" s="121"/>
      <c r="CV37" s="121"/>
      <c r="CW37" s="118"/>
      <c r="CX37" s="118"/>
      <c r="CY37" s="118"/>
      <c r="CZ37" s="118"/>
      <c r="DA37" s="118"/>
      <c r="DC37" s="197"/>
      <c r="DD37" s="180"/>
      <c r="DE37" s="180"/>
      <c r="DF37" s="180"/>
      <c r="DG37" s="180"/>
      <c r="DH37" s="180"/>
      <c r="DI37" s="180"/>
      <c r="DJ37" s="180"/>
      <c r="DK37" s="180"/>
      <c r="DL37" s="180"/>
      <c r="DM37" s="180"/>
      <c r="DN37" s="180"/>
      <c r="DO37" s="180"/>
      <c r="DP37" s="180"/>
      <c r="DQ37" s="173"/>
      <c r="DR37" s="173"/>
      <c r="DS37" s="173"/>
      <c r="DT37" s="173"/>
      <c r="DU37" s="173"/>
      <c r="DV37" s="198"/>
    </row>
    <row r="38" spans="1:126" x14ac:dyDescent="0.2">
      <c r="A38" s="142" t="s">
        <v>401</v>
      </c>
      <c r="AJ38" s="133"/>
      <c r="AK38" s="133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33"/>
      <c r="CG38" s="176"/>
      <c r="CH38" s="118"/>
      <c r="CI38" s="118"/>
      <c r="CJ38" s="118"/>
      <c r="CK38" s="118"/>
      <c r="CL38" s="118"/>
      <c r="CM38" s="180"/>
      <c r="CN38" s="120"/>
      <c r="CO38" s="120"/>
      <c r="CP38" s="122"/>
      <c r="CQ38" s="120"/>
      <c r="CR38" s="120"/>
      <c r="CS38" s="120"/>
      <c r="CT38" s="120"/>
      <c r="CU38" s="120"/>
      <c r="CV38" s="180"/>
      <c r="CW38" s="118"/>
      <c r="CX38" s="118"/>
      <c r="CY38" s="118"/>
      <c r="CZ38" s="118"/>
      <c r="DA38" s="118"/>
      <c r="DC38" s="197"/>
      <c r="DD38" s="180"/>
      <c r="DE38" s="180"/>
      <c r="DF38" s="180"/>
      <c r="DG38" s="180"/>
      <c r="DH38" s="180"/>
      <c r="DI38" s="180"/>
      <c r="DJ38" s="180"/>
      <c r="DK38" s="180"/>
      <c r="DL38" s="180"/>
      <c r="DM38" s="180"/>
      <c r="DN38" s="180"/>
      <c r="DO38" s="180"/>
      <c r="DP38" s="180"/>
      <c r="DQ38" s="173"/>
      <c r="DR38" s="173"/>
      <c r="DS38" s="173"/>
      <c r="DT38" s="173"/>
      <c r="DU38" s="173"/>
      <c r="DV38" s="198"/>
    </row>
    <row r="39" spans="1:126" x14ac:dyDescent="0.2">
      <c r="A39" s="143" t="s">
        <v>402</v>
      </c>
      <c r="AJ39" s="133"/>
      <c r="AK39" s="133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33"/>
      <c r="CG39" s="176"/>
      <c r="CH39" s="118"/>
      <c r="CI39" s="118"/>
      <c r="CJ39" s="118"/>
      <c r="CK39" s="118"/>
      <c r="CL39" s="118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18"/>
      <c r="CX39" s="118"/>
      <c r="CY39" s="118"/>
      <c r="CZ39" s="118"/>
      <c r="DA39" s="118"/>
      <c r="DC39" s="197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73"/>
      <c r="DR39" s="173"/>
      <c r="DS39" s="173"/>
      <c r="DT39" s="173"/>
      <c r="DU39" s="173"/>
      <c r="DV39" s="198"/>
    </row>
    <row r="40" spans="1:126" x14ac:dyDescent="0.2">
      <c r="A40" s="143" t="s">
        <v>403</v>
      </c>
      <c r="AJ40" s="133"/>
      <c r="AK40" s="133"/>
      <c r="AL40" s="175"/>
      <c r="AM40" s="175"/>
      <c r="AN40" s="175"/>
      <c r="AO40" s="175"/>
      <c r="AP40" s="175"/>
      <c r="AQ40" s="175"/>
      <c r="AR40" s="175"/>
      <c r="AS40" s="175"/>
      <c r="AT40" s="175"/>
      <c r="AU40" s="133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33"/>
      <c r="CG40" s="176"/>
      <c r="CH40" s="118"/>
      <c r="CI40" s="118"/>
      <c r="CJ40" s="118"/>
      <c r="CK40" s="118"/>
      <c r="CL40" s="118"/>
      <c r="CM40" s="118"/>
      <c r="CN40" s="118"/>
      <c r="CO40" s="118"/>
      <c r="CP40" s="118"/>
      <c r="CQ40" s="201"/>
      <c r="CR40" s="202"/>
      <c r="CS40" s="118"/>
      <c r="CT40" s="118"/>
      <c r="CU40" s="118"/>
      <c r="CV40" s="118"/>
      <c r="CW40" s="118"/>
      <c r="CX40" s="118"/>
      <c r="CY40" s="118"/>
      <c r="CZ40" s="118"/>
      <c r="DA40" s="118"/>
      <c r="DC40" s="199"/>
      <c r="DD40" s="200"/>
      <c r="DE40" s="200"/>
      <c r="DF40" s="200"/>
      <c r="DG40" s="200"/>
      <c r="DH40" s="200"/>
      <c r="DI40" s="200"/>
      <c r="DJ40" s="200"/>
      <c r="DK40" s="200"/>
      <c r="DL40" s="200"/>
      <c r="DM40" s="200"/>
      <c r="DN40" s="200"/>
      <c r="DO40" s="200"/>
      <c r="DP40" s="200"/>
      <c r="DQ40" s="203"/>
      <c r="DR40" s="203"/>
      <c r="DS40" s="203"/>
      <c r="DT40" s="203"/>
      <c r="DU40" s="203"/>
      <c r="DV40" s="204"/>
    </row>
    <row r="41" spans="1:126" x14ac:dyDescent="0.2">
      <c r="A41" s="143" t="s">
        <v>404</v>
      </c>
      <c r="AJ41" s="133"/>
      <c r="AK41" s="13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33"/>
      <c r="CG41" s="176">
        <v>3</v>
      </c>
      <c r="CH41" s="192"/>
      <c r="CI41" s="193"/>
      <c r="CJ41" s="193"/>
      <c r="CK41" s="193"/>
      <c r="CL41" s="193"/>
      <c r="CM41" s="193"/>
      <c r="CN41" s="193"/>
      <c r="CO41" s="193"/>
      <c r="CP41" s="193"/>
      <c r="CQ41" s="193"/>
      <c r="CR41" s="193"/>
      <c r="CS41" s="193"/>
      <c r="CT41" s="193"/>
      <c r="CU41" s="193"/>
      <c r="CV41" s="194"/>
      <c r="CW41" s="194"/>
      <c r="CX41" s="194"/>
      <c r="CY41" s="194"/>
      <c r="CZ41" s="194"/>
      <c r="DA41" s="195"/>
      <c r="DC41" s="192"/>
      <c r="DD41" s="193"/>
      <c r="DE41" s="193"/>
      <c r="DF41" s="193"/>
      <c r="DG41" s="193"/>
      <c r="DH41" s="193"/>
      <c r="DI41" s="193"/>
      <c r="DJ41" s="193"/>
      <c r="DK41" s="193"/>
      <c r="DL41" s="193"/>
      <c r="DM41" s="193"/>
      <c r="DN41" s="193"/>
      <c r="DO41" s="193"/>
      <c r="DP41" s="193"/>
      <c r="DQ41" s="194"/>
      <c r="DR41" s="194"/>
      <c r="DS41" s="194"/>
      <c r="DT41" s="194"/>
      <c r="DU41" s="194"/>
      <c r="DV41" s="195"/>
    </row>
    <row r="42" spans="1:126" x14ac:dyDescent="0.2">
      <c r="A42" s="143" t="s">
        <v>405</v>
      </c>
      <c r="AJ42" s="133"/>
      <c r="AK42" s="133"/>
      <c r="AL42" s="183"/>
      <c r="AM42" s="183"/>
      <c r="AN42" s="183"/>
      <c r="AO42" s="183"/>
      <c r="AP42" s="183"/>
      <c r="AQ42" s="183"/>
      <c r="AR42" s="183"/>
      <c r="AS42" s="183"/>
      <c r="AT42" s="183"/>
      <c r="AU42" s="183"/>
      <c r="AV42" s="183"/>
      <c r="AW42" s="183"/>
      <c r="AX42" s="183"/>
      <c r="AY42" s="183"/>
      <c r="AZ42" s="183"/>
      <c r="BA42" s="183"/>
      <c r="BB42" s="183"/>
      <c r="BC42" s="183"/>
      <c r="BD42" s="183"/>
      <c r="BE42" s="183"/>
      <c r="BF42" s="133"/>
      <c r="CG42" s="176"/>
      <c r="CH42" s="169"/>
      <c r="CI42" s="177"/>
      <c r="CJ42" s="177"/>
      <c r="CK42" s="177"/>
      <c r="CL42" s="177"/>
      <c r="CM42" s="177"/>
      <c r="CN42" s="177"/>
      <c r="CO42" s="177"/>
      <c r="CP42" s="177"/>
      <c r="CQ42" s="177"/>
      <c r="CR42" s="177"/>
      <c r="CS42" s="177"/>
      <c r="CT42" s="177"/>
      <c r="CU42" s="177"/>
      <c r="CV42" s="172"/>
      <c r="CW42" s="172"/>
      <c r="CX42" s="172"/>
      <c r="CY42" s="172"/>
      <c r="CZ42" s="172"/>
      <c r="DA42" s="196"/>
      <c r="DC42" s="169"/>
      <c r="DD42" s="177"/>
      <c r="DE42" s="177"/>
      <c r="DF42" s="177"/>
      <c r="DG42" s="177"/>
      <c r="DH42" s="177"/>
      <c r="DI42" s="177"/>
      <c r="DJ42" s="177"/>
      <c r="DK42" s="177"/>
      <c r="DL42" s="177"/>
      <c r="DM42" s="177"/>
      <c r="DN42" s="177"/>
      <c r="DO42" s="177"/>
      <c r="DP42" s="177"/>
      <c r="DQ42" s="172"/>
      <c r="DR42" s="172"/>
      <c r="DS42" s="172"/>
      <c r="DT42" s="172"/>
      <c r="DU42" s="172"/>
      <c r="DV42" s="196"/>
    </row>
    <row r="43" spans="1:126" x14ac:dyDescent="0.2">
      <c r="A43" s="143" t="s">
        <v>406</v>
      </c>
      <c r="AJ43" s="133"/>
      <c r="AK43" s="133"/>
      <c r="AL43" s="183"/>
      <c r="AM43" s="183"/>
      <c r="AN43" s="183"/>
      <c r="AO43" s="183"/>
      <c r="AP43" s="183"/>
      <c r="AQ43" s="183"/>
      <c r="AR43" s="183"/>
      <c r="AS43" s="183"/>
      <c r="AT43" s="183"/>
      <c r="AU43" s="183"/>
      <c r="AV43" s="183"/>
      <c r="AW43" s="183"/>
      <c r="AX43" s="183"/>
      <c r="AY43" s="183"/>
      <c r="AZ43" s="183"/>
      <c r="BA43" s="183"/>
      <c r="BB43" s="183"/>
      <c r="BC43" s="183"/>
      <c r="BD43" s="183"/>
      <c r="BE43" s="183"/>
      <c r="BF43" s="133"/>
      <c r="CG43" s="131"/>
      <c r="CH43" s="169"/>
      <c r="CI43" s="177"/>
      <c r="CJ43" s="177"/>
      <c r="CK43" s="177"/>
      <c r="CL43" s="177"/>
      <c r="CM43" s="177"/>
      <c r="CN43" s="177"/>
      <c r="CO43" s="177"/>
      <c r="CP43" s="177"/>
      <c r="CQ43" s="177"/>
      <c r="CR43" s="177"/>
      <c r="CS43" s="177"/>
      <c r="CT43" s="177"/>
      <c r="CU43" s="177"/>
      <c r="CV43" s="172"/>
      <c r="CW43" s="172"/>
      <c r="CX43" s="172"/>
      <c r="CY43" s="172"/>
      <c r="CZ43" s="172"/>
      <c r="DA43" s="196"/>
      <c r="DC43" s="169"/>
      <c r="DD43" s="177"/>
      <c r="DE43" s="177"/>
      <c r="DF43" s="177"/>
      <c r="DG43" s="177"/>
      <c r="DH43" s="177"/>
      <c r="DI43" s="177"/>
      <c r="DJ43" s="177"/>
      <c r="DK43" s="177"/>
      <c r="DL43" s="177"/>
      <c r="DM43" s="177"/>
      <c r="DN43" s="177"/>
      <c r="DO43" s="177"/>
      <c r="DP43" s="177"/>
      <c r="DQ43" s="172"/>
      <c r="DR43" s="172"/>
      <c r="DS43" s="172"/>
      <c r="DT43" s="172"/>
      <c r="DU43" s="172"/>
      <c r="DV43" s="196"/>
    </row>
    <row r="44" spans="1:126" x14ac:dyDescent="0.2">
      <c r="A44" s="143" t="s">
        <v>407</v>
      </c>
      <c r="AJ44" s="133"/>
      <c r="AK44" s="133"/>
      <c r="AL44" s="183"/>
      <c r="AM44" s="183"/>
      <c r="AN44" s="183"/>
      <c r="AO44" s="183"/>
      <c r="AP44" s="183"/>
      <c r="AQ44" s="183"/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183"/>
      <c r="BF44" s="133"/>
      <c r="CG44" s="176"/>
      <c r="CH44" s="169"/>
      <c r="CI44" s="177"/>
      <c r="CJ44" s="177"/>
      <c r="CK44" s="177"/>
      <c r="CL44" s="177"/>
      <c r="CM44" s="177"/>
      <c r="CN44" s="177"/>
      <c r="CO44" s="177"/>
      <c r="CP44" s="177"/>
      <c r="CQ44" s="177"/>
      <c r="CR44" s="177"/>
      <c r="CS44" s="177"/>
      <c r="CT44" s="177"/>
      <c r="CU44" s="177"/>
      <c r="CV44" s="172"/>
      <c r="CW44" s="172"/>
      <c r="CX44" s="172"/>
      <c r="CY44" s="172"/>
      <c r="CZ44" s="172"/>
      <c r="DA44" s="196"/>
      <c r="DC44" s="169"/>
      <c r="DD44" s="177"/>
      <c r="DE44" s="177"/>
      <c r="DF44" s="177"/>
      <c r="DG44" s="177"/>
      <c r="DH44" s="177"/>
      <c r="DI44" s="177"/>
      <c r="DJ44" s="177"/>
      <c r="DK44" s="177"/>
      <c r="DL44" s="177"/>
      <c r="DM44" s="177"/>
      <c r="DN44" s="177"/>
      <c r="DO44" s="177"/>
      <c r="DP44" s="177"/>
      <c r="DQ44" s="172"/>
      <c r="DR44" s="172"/>
      <c r="DS44" s="172"/>
      <c r="DT44" s="172"/>
      <c r="DU44" s="172"/>
      <c r="DV44" s="196"/>
    </row>
    <row r="45" spans="1:126" x14ac:dyDescent="0.2">
      <c r="A45" s="143" t="s">
        <v>408</v>
      </c>
      <c r="AJ45" s="133"/>
      <c r="AK45" s="133"/>
      <c r="AL45" s="183"/>
      <c r="AM45" s="183"/>
      <c r="AN45" s="183"/>
      <c r="AO45" s="183"/>
      <c r="AP45" s="183"/>
      <c r="AQ45" s="183"/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183"/>
      <c r="BF45" s="133"/>
      <c r="CG45" s="178"/>
      <c r="CH45" s="169"/>
      <c r="CI45" s="177"/>
      <c r="CJ45" s="177"/>
      <c r="CK45" s="177"/>
      <c r="CL45" s="177"/>
      <c r="CM45" s="177"/>
      <c r="CN45" s="177"/>
      <c r="CO45" s="177"/>
      <c r="CP45" s="177"/>
      <c r="CQ45" s="177"/>
      <c r="CR45" s="177"/>
      <c r="CS45" s="177"/>
      <c r="CT45" s="177"/>
      <c r="CU45" s="177"/>
      <c r="CV45" s="172"/>
      <c r="CW45" s="172"/>
      <c r="CX45" s="172"/>
      <c r="CY45" s="172"/>
      <c r="CZ45" s="172"/>
      <c r="DA45" s="196"/>
      <c r="DC45" s="169"/>
      <c r="DD45" s="177"/>
      <c r="DE45" s="177"/>
      <c r="DF45" s="177"/>
      <c r="DG45" s="177"/>
      <c r="DH45" s="177"/>
      <c r="DI45" s="177"/>
      <c r="DJ45" s="177"/>
      <c r="DK45" s="177"/>
      <c r="DL45" s="177"/>
      <c r="DM45" s="177"/>
      <c r="DN45" s="177"/>
      <c r="DO45" s="177"/>
      <c r="DP45" s="177"/>
      <c r="DQ45" s="172"/>
      <c r="DR45" s="172"/>
      <c r="DS45" s="172"/>
      <c r="DT45" s="172"/>
      <c r="DU45" s="172"/>
      <c r="DV45" s="196"/>
    </row>
    <row r="46" spans="1:126" x14ac:dyDescent="0.2">
      <c r="A46" s="143" t="s">
        <v>409</v>
      </c>
      <c r="AJ46" s="133"/>
      <c r="AK46" s="133"/>
      <c r="AL46" s="183"/>
      <c r="AM46" s="183"/>
      <c r="AN46" s="183"/>
      <c r="AO46" s="183"/>
      <c r="AP46" s="183"/>
      <c r="AQ46" s="183"/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183"/>
      <c r="BF46" s="133"/>
      <c r="CG46" s="179"/>
      <c r="CH46" s="169"/>
      <c r="CI46" s="177"/>
      <c r="CJ46" s="177"/>
      <c r="CK46" s="177"/>
      <c r="CL46" s="177"/>
      <c r="CM46" s="177"/>
      <c r="CN46" s="177"/>
      <c r="CO46" s="177"/>
      <c r="CP46" s="177"/>
      <c r="CQ46" s="177"/>
      <c r="CR46" s="177"/>
      <c r="CS46" s="177"/>
      <c r="CT46" s="177"/>
      <c r="CU46" s="177"/>
      <c r="CV46" s="172"/>
      <c r="CW46" s="172"/>
      <c r="CX46" s="172"/>
      <c r="CY46" s="172"/>
      <c r="CZ46" s="172"/>
      <c r="DA46" s="196"/>
      <c r="DC46" s="169"/>
      <c r="DD46" s="177"/>
      <c r="DE46" s="177"/>
      <c r="DF46" s="177"/>
      <c r="DG46" s="177"/>
      <c r="DH46" s="177"/>
      <c r="DI46" s="177"/>
      <c r="DJ46" s="177"/>
      <c r="DK46" s="177"/>
      <c r="DL46" s="177"/>
      <c r="DM46" s="177"/>
      <c r="DN46" s="177"/>
      <c r="DO46" s="177"/>
      <c r="DP46" s="177"/>
      <c r="DQ46" s="172"/>
      <c r="DR46" s="172"/>
      <c r="DS46" s="172"/>
      <c r="DT46" s="172"/>
      <c r="DU46" s="172"/>
      <c r="DV46" s="196"/>
    </row>
    <row r="47" spans="1:126" x14ac:dyDescent="0.2">
      <c r="A47" s="143" t="s">
        <v>410</v>
      </c>
      <c r="AJ47" s="133"/>
      <c r="AK47" s="133"/>
      <c r="AL47" s="183"/>
      <c r="AM47" s="183"/>
      <c r="AN47" s="183"/>
      <c r="AO47" s="183"/>
      <c r="AP47" s="183"/>
      <c r="AQ47" s="183"/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183"/>
      <c r="BF47" s="133"/>
      <c r="CG47" s="179"/>
      <c r="CH47" s="169"/>
      <c r="CI47" s="177"/>
      <c r="CJ47" s="177"/>
      <c r="CK47" s="177"/>
      <c r="CL47" s="177"/>
      <c r="CM47" s="177"/>
      <c r="CN47" s="177"/>
      <c r="CO47" s="177"/>
      <c r="CP47" s="177"/>
      <c r="CQ47" s="177"/>
      <c r="CR47" s="177"/>
      <c r="CS47" s="177"/>
      <c r="CT47" s="177"/>
      <c r="CU47" s="177"/>
      <c r="CV47" s="172"/>
      <c r="CW47" s="172"/>
      <c r="CX47" s="172"/>
      <c r="CY47" s="172"/>
      <c r="CZ47" s="172"/>
      <c r="DA47" s="196"/>
      <c r="DC47" s="169"/>
      <c r="DD47" s="177"/>
      <c r="DE47" s="177"/>
      <c r="DF47" s="177"/>
      <c r="DG47" s="177"/>
      <c r="DH47" s="177"/>
      <c r="DI47" s="177"/>
      <c r="DJ47" s="177"/>
      <c r="DK47" s="177"/>
      <c r="DL47" s="177"/>
      <c r="DM47" s="177"/>
      <c r="DN47" s="177"/>
      <c r="DO47" s="177"/>
      <c r="DP47" s="177"/>
      <c r="DQ47" s="172"/>
      <c r="DR47" s="172"/>
      <c r="DS47" s="172"/>
      <c r="DT47" s="172"/>
      <c r="DU47" s="172"/>
      <c r="DV47" s="196"/>
    </row>
    <row r="48" spans="1:126" x14ac:dyDescent="0.2">
      <c r="A48" s="143" t="s">
        <v>411</v>
      </c>
      <c r="AJ48" s="133"/>
      <c r="AK48" s="133"/>
      <c r="AL48" s="183"/>
      <c r="AM48" s="183"/>
      <c r="AN48" s="183"/>
      <c r="AO48" s="183"/>
      <c r="AP48" s="183"/>
      <c r="AQ48" s="183"/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183"/>
      <c r="BF48" s="133"/>
      <c r="CG48" s="179"/>
      <c r="CH48" s="169"/>
      <c r="CI48" s="177"/>
      <c r="CJ48" s="177"/>
      <c r="CK48" s="177"/>
      <c r="CL48" s="177"/>
      <c r="CM48" s="177"/>
      <c r="CN48" s="177"/>
      <c r="CO48" s="177"/>
      <c r="CP48" s="177"/>
      <c r="CQ48" s="177"/>
      <c r="CR48" s="177"/>
      <c r="CS48" s="177"/>
      <c r="CT48" s="177"/>
      <c r="CU48" s="177"/>
      <c r="CV48" s="172"/>
      <c r="CW48" s="172"/>
      <c r="CX48" s="172"/>
      <c r="CY48" s="172"/>
      <c r="CZ48" s="172"/>
      <c r="DA48" s="196"/>
      <c r="DC48" s="169"/>
      <c r="DD48" s="177"/>
      <c r="DE48" s="177"/>
      <c r="DF48" s="177"/>
      <c r="DG48" s="177"/>
      <c r="DH48" s="177"/>
      <c r="DI48" s="177"/>
      <c r="DJ48" s="177"/>
      <c r="DK48" s="177"/>
      <c r="DL48" s="177"/>
      <c r="DM48" s="177"/>
      <c r="DN48" s="177"/>
      <c r="DO48" s="177"/>
      <c r="DP48" s="177"/>
      <c r="DQ48" s="172"/>
      <c r="DR48" s="172"/>
      <c r="DS48" s="172"/>
      <c r="DT48" s="172"/>
      <c r="DU48" s="172"/>
      <c r="DV48" s="196"/>
    </row>
    <row r="49" spans="1:126" x14ac:dyDescent="0.2">
      <c r="A49" s="143" t="s">
        <v>412</v>
      </c>
      <c r="AJ49" s="133"/>
      <c r="AK49" s="133"/>
      <c r="AL49" s="183"/>
      <c r="AM49" s="183"/>
      <c r="AN49" s="183"/>
      <c r="AO49" s="183"/>
      <c r="AP49" s="183"/>
      <c r="AQ49" s="183"/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183"/>
      <c r="BF49" s="133"/>
      <c r="CG49" s="179"/>
      <c r="CH49" s="169"/>
      <c r="CI49" s="177"/>
      <c r="CJ49" s="177"/>
      <c r="CK49" s="177"/>
      <c r="CL49" s="177"/>
      <c r="CM49" s="177"/>
      <c r="CN49" s="177"/>
      <c r="CO49" s="177"/>
      <c r="CP49" s="177"/>
      <c r="CQ49" s="177"/>
      <c r="CR49" s="177"/>
      <c r="CS49" s="177"/>
      <c r="CT49" s="177"/>
      <c r="CU49" s="177"/>
      <c r="CV49" s="172"/>
      <c r="CW49" s="172"/>
      <c r="CX49" s="172"/>
      <c r="CY49" s="172"/>
      <c r="CZ49" s="172"/>
      <c r="DA49" s="196"/>
      <c r="DC49" s="169"/>
      <c r="DD49" s="177"/>
      <c r="DE49" s="177"/>
      <c r="DF49" s="177"/>
      <c r="DG49" s="177"/>
      <c r="DH49" s="177"/>
      <c r="DI49" s="177"/>
      <c r="DJ49" s="177"/>
      <c r="DK49" s="177"/>
      <c r="DL49" s="177"/>
      <c r="DM49" s="177"/>
      <c r="DN49" s="177"/>
      <c r="DO49" s="177"/>
      <c r="DP49" s="177"/>
      <c r="DQ49" s="172"/>
      <c r="DR49" s="172"/>
      <c r="DS49" s="172"/>
      <c r="DT49" s="172"/>
      <c r="DU49" s="172"/>
      <c r="DV49" s="196"/>
    </row>
    <row r="50" spans="1:126" x14ac:dyDescent="0.2">
      <c r="A50" s="143" t="s">
        <v>413</v>
      </c>
      <c r="AJ50" s="133"/>
      <c r="AK50" s="133"/>
      <c r="AL50" s="183"/>
      <c r="AM50" s="183"/>
      <c r="AN50" s="183"/>
      <c r="AO50" s="183"/>
      <c r="AP50" s="183"/>
      <c r="AQ50" s="183"/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183"/>
      <c r="BF50" s="133"/>
      <c r="CG50" s="179"/>
      <c r="CH50" s="169"/>
      <c r="CI50" s="177"/>
      <c r="CJ50" s="177"/>
      <c r="CK50" s="177"/>
      <c r="CL50" s="177"/>
      <c r="CM50" s="177"/>
      <c r="CN50" s="177"/>
      <c r="CO50" s="177"/>
      <c r="CP50" s="177"/>
      <c r="CQ50" s="177"/>
      <c r="CR50" s="177"/>
      <c r="CS50" s="177"/>
      <c r="CT50" s="177"/>
      <c r="CU50" s="177"/>
      <c r="CV50" s="172"/>
      <c r="CW50" s="172"/>
      <c r="CX50" s="172"/>
      <c r="CY50" s="172"/>
      <c r="CZ50" s="172"/>
      <c r="DA50" s="196"/>
      <c r="DC50" s="169"/>
      <c r="DD50" s="177"/>
      <c r="DE50" s="177"/>
      <c r="DF50" s="177"/>
      <c r="DG50" s="177"/>
      <c r="DH50" s="177"/>
      <c r="DI50" s="177"/>
      <c r="DJ50" s="177"/>
      <c r="DK50" s="177"/>
      <c r="DL50" s="177"/>
      <c r="DM50" s="177"/>
      <c r="DN50" s="177"/>
      <c r="DO50" s="177"/>
      <c r="DP50" s="177"/>
      <c r="DQ50" s="172"/>
      <c r="DR50" s="172"/>
      <c r="DS50" s="172"/>
      <c r="DT50" s="172"/>
      <c r="DU50" s="172"/>
      <c r="DV50" s="196"/>
    </row>
    <row r="51" spans="1:126" x14ac:dyDescent="0.2">
      <c r="A51" s="143" t="s">
        <v>414</v>
      </c>
      <c r="AJ51" s="133"/>
      <c r="AK51" s="133"/>
      <c r="AL51" s="183"/>
      <c r="AM51" s="183"/>
      <c r="AN51" s="183"/>
      <c r="AO51" s="183"/>
      <c r="AP51" s="183"/>
      <c r="AQ51" s="183"/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33"/>
      <c r="CG51" s="179"/>
      <c r="CH51" s="169"/>
      <c r="CI51" s="177"/>
      <c r="CJ51" s="177"/>
      <c r="CK51" s="177"/>
      <c r="CL51" s="177"/>
      <c r="CM51" s="177"/>
      <c r="CN51" s="177"/>
      <c r="CO51" s="177"/>
      <c r="CP51" s="177"/>
      <c r="CQ51" s="177"/>
      <c r="CR51" s="177"/>
      <c r="CS51" s="177"/>
      <c r="CT51" s="177"/>
      <c r="CU51" s="177"/>
      <c r="CV51" s="172"/>
      <c r="CW51" s="172"/>
      <c r="CX51" s="172"/>
      <c r="CY51" s="172"/>
      <c r="CZ51" s="172"/>
      <c r="DA51" s="196"/>
      <c r="DC51" s="169"/>
      <c r="DD51" s="177"/>
      <c r="DE51" s="177"/>
      <c r="DF51" s="177"/>
      <c r="DG51" s="177"/>
      <c r="DH51" s="177"/>
      <c r="DI51" s="177"/>
      <c r="DJ51" s="177"/>
      <c r="DK51" s="177"/>
      <c r="DL51" s="177"/>
      <c r="DM51" s="177"/>
      <c r="DN51" s="177"/>
      <c r="DO51" s="177"/>
      <c r="DP51" s="177"/>
      <c r="DQ51" s="172"/>
      <c r="DR51" s="172"/>
      <c r="DS51" s="172"/>
      <c r="DT51" s="172"/>
      <c r="DU51" s="172"/>
      <c r="DV51" s="196"/>
    </row>
    <row r="52" spans="1:126" x14ac:dyDescent="0.2">
      <c r="A52" s="143" t="s">
        <v>415</v>
      </c>
      <c r="AJ52" s="133"/>
      <c r="AK52" s="13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33"/>
      <c r="CG52" s="179"/>
      <c r="CH52" s="169"/>
      <c r="CI52" s="177"/>
      <c r="CJ52" s="177"/>
      <c r="CK52" s="177"/>
      <c r="CL52" s="177"/>
      <c r="CM52" s="177"/>
      <c r="CN52" s="177"/>
      <c r="CO52" s="177"/>
      <c r="CP52" s="177"/>
      <c r="CQ52" s="177"/>
      <c r="CR52" s="177"/>
      <c r="CS52" s="177"/>
      <c r="CT52" s="177"/>
      <c r="CU52" s="177"/>
      <c r="CV52" s="172"/>
      <c r="CW52" s="172"/>
      <c r="CX52" s="172"/>
      <c r="CY52" s="172"/>
      <c r="CZ52" s="172"/>
      <c r="DA52" s="196"/>
      <c r="DC52" s="169"/>
      <c r="DD52" s="177"/>
      <c r="DE52" s="177"/>
      <c r="DF52" s="177"/>
      <c r="DG52" s="177"/>
      <c r="DH52" s="177"/>
      <c r="DI52" s="177"/>
      <c r="DJ52" s="177"/>
      <c r="DK52" s="177"/>
      <c r="DL52" s="177"/>
      <c r="DM52" s="177"/>
      <c r="DN52" s="177"/>
      <c r="DO52" s="177"/>
      <c r="DP52" s="177"/>
      <c r="DQ52" s="172"/>
      <c r="DR52" s="172"/>
      <c r="DS52" s="172"/>
      <c r="DT52" s="172"/>
      <c r="DU52" s="172"/>
      <c r="DV52" s="196"/>
    </row>
    <row r="53" spans="1:126" x14ac:dyDescent="0.2">
      <c r="A53" s="143" t="s">
        <v>416</v>
      </c>
      <c r="AJ53" s="133"/>
      <c r="AK53" s="133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33"/>
      <c r="CG53" s="179"/>
      <c r="CH53" s="197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73"/>
      <c r="CW53" s="173"/>
      <c r="CX53" s="173"/>
      <c r="CY53" s="173"/>
      <c r="CZ53" s="173"/>
      <c r="DA53" s="198"/>
      <c r="DC53" s="197"/>
      <c r="DD53" s="180"/>
      <c r="DE53" s="180"/>
      <c r="DF53" s="180"/>
      <c r="DG53" s="180"/>
      <c r="DH53" s="180"/>
      <c r="DI53" s="180"/>
      <c r="DJ53" s="180"/>
      <c r="DK53" s="180"/>
      <c r="DL53" s="180"/>
      <c r="DM53" s="180"/>
      <c r="DN53" s="180"/>
      <c r="DO53" s="180"/>
      <c r="DP53" s="180"/>
      <c r="DQ53" s="173"/>
      <c r="DR53" s="173"/>
      <c r="DS53" s="173"/>
      <c r="DT53" s="173"/>
      <c r="DU53" s="173"/>
      <c r="DV53" s="198"/>
    </row>
    <row r="54" spans="1:126" x14ac:dyDescent="0.2">
      <c r="A54" s="143" t="s">
        <v>417</v>
      </c>
      <c r="AJ54" s="133"/>
      <c r="AK54" s="133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33"/>
      <c r="CG54" s="179"/>
      <c r="CH54" s="197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73"/>
      <c r="CW54" s="173"/>
      <c r="CX54" s="173"/>
      <c r="CY54" s="173"/>
      <c r="CZ54" s="173"/>
      <c r="DA54" s="198"/>
      <c r="DC54" s="197"/>
      <c r="DD54" s="180"/>
      <c r="DE54" s="180"/>
      <c r="DF54" s="180"/>
      <c r="DG54" s="180"/>
      <c r="DH54" s="180"/>
      <c r="DI54" s="180"/>
      <c r="DJ54" s="180"/>
      <c r="DK54" s="180"/>
      <c r="DL54" s="180"/>
      <c r="DM54" s="180"/>
      <c r="DN54" s="180"/>
      <c r="DO54" s="180"/>
      <c r="DP54" s="180"/>
      <c r="DQ54" s="173"/>
      <c r="DR54" s="173"/>
      <c r="DS54" s="173"/>
      <c r="DT54" s="173"/>
      <c r="DU54" s="173"/>
      <c r="DV54" s="198"/>
    </row>
    <row r="55" spans="1:126" x14ac:dyDescent="0.2">
      <c r="A55" s="143" t="s">
        <v>418</v>
      </c>
      <c r="AJ55" s="133"/>
      <c r="AK55" s="133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33"/>
      <c r="CG55" s="179"/>
      <c r="CH55" s="197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73"/>
      <c r="CW55" s="173"/>
      <c r="CX55" s="173"/>
      <c r="CY55" s="173"/>
      <c r="CZ55" s="173"/>
      <c r="DA55" s="198"/>
      <c r="DC55" s="197"/>
      <c r="DD55" s="180"/>
      <c r="DE55" s="180"/>
      <c r="DF55" s="180"/>
      <c r="DG55" s="180"/>
      <c r="DH55" s="180"/>
      <c r="DI55" s="180"/>
      <c r="DJ55" s="180"/>
      <c r="DK55" s="180"/>
      <c r="DL55" s="180"/>
      <c r="DM55" s="180"/>
      <c r="DN55" s="180"/>
      <c r="DO55" s="180"/>
      <c r="DP55" s="180"/>
      <c r="DQ55" s="173"/>
      <c r="DR55" s="173"/>
      <c r="DS55" s="173"/>
      <c r="DT55" s="173"/>
      <c r="DU55" s="173"/>
      <c r="DV55" s="198"/>
    </row>
    <row r="56" spans="1:126" x14ac:dyDescent="0.2">
      <c r="A56" s="143" t="s">
        <v>419</v>
      </c>
      <c r="AJ56" s="133"/>
      <c r="AK56" s="133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33"/>
      <c r="CG56" s="179"/>
      <c r="CH56" s="197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73"/>
      <c r="CW56" s="173"/>
      <c r="CX56" s="173"/>
      <c r="CY56" s="173"/>
      <c r="CZ56" s="173"/>
      <c r="DA56" s="198"/>
      <c r="DC56" s="197"/>
      <c r="DD56" s="180"/>
      <c r="DE56" s="180"/>
      <c r="DF56" s="180"/>
      <c r="DG56" s="180"/>
      <c r="DH56" s="180"/>
      <c r="DI56" s="180"/>
      <c r="DJ56" s="180"/>
      <c r="DK56" s="180"/>
      <c r="DL56" s="180"/>
      <c r="DM56" s="180"/>
      <c r="DN56" s="180"/>
      <c r="DO56" s="180"/>
      <c r="DP56" s="180"/>
      <c r="DQ56" s="173"/>
      <c r="DR56" s="173"/>
      <c r="DS56" s="173"/>
      <c r="DT56" s="173"/>
      <c r="DU56" s="173"/>
      <c r="DV56" s="198"/>
    </row>
    <row r="57" spans="1:126" x14ac:dyDescent="0.2">
      <c r="A57" s="144" t="s">
        <v>420</v>
      </c>
      <c r="AJ57" s="133"/>
      <c r="AK57" s="133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33"/>
      <c r="CG57" s="179"/>
      <c r="CH57" s="197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73"/>
      <c r="CW57" s="173"/>
      <c r="CX57" s="173"/>
      <c r="CY57" s="173"/>
      <c r="CZ57" s="173"/>
      <c r="DA57" s="198"/>
      <c r="DC57" s="197"/>
      <c r="DD57" s="180"/>
      <c r="DE57" s="180"/>
      <c r="DF57" s="180"/>
      <c r="DG57" s="180"/>
      <c r="DH57" s="180"/>
      <c r="DI57" s="180"/>
      <c r="DJ57" s="180"/>
      <c r="DK57" s="180"/>
      <c r="DL57" s="180"/>
      <c r="DM57" s="180"/>
      <c r="DN57" s="180"/>
      <c r="DO57" s="180"/>
      <c r="DP57" s="180"/>
      <c r="DQ57" s="173"/>
      <c r="DR57" s="173"/>
      <c r="DS57" s="173"/>
      <c r="DT57" s="173"/>
      <c r="DU57" s="173"/>
      <c r="DV57" s="198"/>
    </row>
    <row r="58" spans="1:126" x14ac:dyDescent="0.2">
      <c r="A58" s="142" t="s">
        <v>421</v>
      </c>
      <c r="AJ58" s="133"/>
      <c r="AK58" s="133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33"/>
      <c r="CG58" s="176"/>
      <c r="CH58" s="197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73"/>
      <c r="CW58" s="173"/>
      <c r="CX58" s="173"/>
      <c r="CY58" s="173"/>
      <c r="CZ58" s="173"/>
      <c r="DA58" s="198"/>
      <c r="DC58" s="197"/>
      <c r="DD58" s="180"/>
      <c r="DE58" s="180"/>
      <c r="DF58" s="180"/>
      <c r="DG58" s="180"/>
      <c r="DH58" s="180"/>
      <c r="DI58" s="180"/>
      <c r="DJ58" s="180"/>
      <c r="DK58" s="180"/>
      <c r="DL58" s="180"/>
      <c r="DM58" s="180"/>
      <c r="DN58" s="180"/>
      <c r="DO58" s="180"/>
      <c r="DP58" s="180"/>
      <c r="DQ58" s="173"/>
      <c r="DR58" s="173"/>
      <c r="DS58" s="173"/>
      <c r="DT58" s="173"/>
      <c r="DU58" s="173"/>
      <c r="DV58" s="198"/>
    </row>
    <row r="59" spans="1:126" x14ac:dyDescent="0.2">
      <c r="A59" s="143" t="s">
        <v>422</v>
      </c>
      <c r="AJ59" s="133"/>
      <c r="AK59" s="133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33"/>
      <c r="CG59" s="176"/>
      <c r="CH59" s="197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73"/>
      <c r="CW59" s="173"/>
      <c r="CX59" s="173"/>
      <c r="CY59" s="173"/>
      <c r="CZ59" s="173"/>
      <c r="DA59" s="198"/>
      <c r="DC59" s="197"/>
      <c r="DD59" s="180"/>
      <c r="DE59" s="180"/>
      <c r="DF59" s="180"/>
      <c r="DG59" s="180"/>
      <c r="DH59" s="180"/>
      <c r="DI59" s="180"/>
      <c r="DJ59" s="180"/>
      <c r="DK59" s="180"/>
      <c r="DL59" s="180"/>
      <c r="DM59" s="180"/>
      <c r="DN59" s="180"/>
      <c r="DO59" s="180"/>
      <c r="DP59" s="180"/>
      <c r="DQ59" s="173"/>
      <c r="DR59" s="173"/>
      <c r="DS59" s="173"/>
      <c r="DT59" s="173"/>
      <c r="DU59" s="173"/>
      <c r="DV59" s="198"/>
    </row>
    <row r="60" spans="1:126" x14ac:dyDescent="0.2">
      <c r="A60" s="143" t="s">
        <v>423</v>
      </c>
      <c r="AJ60" s="133"/>
      <c r="AK60" s="133"/>
      <c r="AL60" s="175"/>
      <c r="AM60" s="175"/>
      <c r="AN60" s="175"/>
      <c r="AO60" s="175"/>
      <c r="AP60" s="175"/>
      <c r="AQ60" s="175"/>
      <c r="AR60" s="175"/>
      <c r="AS60" s="175"/>
      <c r="AT60" s="175"/>
      <c r="AU60" s="133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33"/>
      <c r="CG60" s="176"/>
      <c r="CH60" s="199"/>
      <c r="CI60" s="200"/>
      <c r="CJ60" s="200"/>
      <c r="CK60" s="200"/>
      <c r="CL60" s="200"/>
      <c r="CM60" s="200"/>
      <c r="CN60" s="200"/>
      <c r="CO60" s="200"/>
      <c r="CP60" s="200"/>
      <c r="CQ60" s="201"/>
      <c r="CR60" s="202"/>
      <c r="CS60" s="200"/>
      <c r="CT60" s="200"/>
      <c r="CU60" s="200"/>
      <c r="CV60" s="203"/>
      <c r="CW60" s="203"/>
      <c r="CX60" s="203"/>
      <c r="CY60" s="203"/>
      <c r="CZ60" s="203"/>
      <c r="DA60" s="204"/>
      <c r="DC60" s="199"/>
      <c r="DD60" s="200"/>
      <c r="DE60" s="200"/>
      <c r="DF60" s="200"/>
      <c r="DG60" s="200"/>
      <c r="DH60" s="200"/>
      <c r="DI60" s="200"/>
      <c r="DJ60" s="200"/>
      <c r="DK60" s="200"/>
      <c r="DL60" s="200"/>
      <c r="DM60" s="200"/>
      <c r="DN60" s="200"/>
      <c r="DO60" s="200"/>
      <c r="DP60" s="200"/>
      <c r="DQ60" s="203"/>
      <c r="DR60" s="203"/>
      <c r="DS60" s="203"/>
      <c r="DT60" s="203"/>
      <c r="DU60" s="203"/>
      <c r="DV60" s="204"/>
    </row>
    <row r="61" spans="1:126" x14ac:dyDescent="0.2">
      <c r="A61" s="143" t="s">
        <v>424</v>
      </c>
      <c r="AJ61" s="133"/>
      <c r="AK61" s="133"/>
      <c r="AL61" s="183"/>
      <c r="AM61" s="183"/>
      <c r="AN61" s="183"/>
      <c r="AO61" s="183"/>
      <c r="AP61" s="183"/>
      <c r="AQ61" s="183"/>
      <c r="AR61" s="183"/>
      <c r="AS61" s="183"/>
      <c r="AT61" s="183"/>
      <c r="AU61" s="183"/>
      <c r="AV61" s="183"/>
      <c r="AW61" s="183"/>
      <c r="AX61" s="183"/>
      <c r="AY61" s="183"/>
      <c r="AZ61" s="183"/>
      <c r="BA61" s="183"/>
      <c r="BB61" s="183"/>
      <c r="BC61" s="183"/>
      <c r="BD61" s="183"/>
      <c r="BE61" s="183"/>
      <c r="BF61" s="133"/>
      <c r="CG61" s="176">
        <v>4</v>
      </c>
      <c r="CH61" s="192"/>
      <c r="CI61" s="193"/>
      <c r="CJ61" s="193"/>
      <c r="CK61" s="193"/>
      <c r="CL61" s="193"/>
      <c r="CM61" s="193"/>
      <c r="CN61" s="193"/>
      <c r="CO61" s="193"/>
      <c r="CP61" s="193"/>
      <c r="CQ61" s="193"/>
      <c r="CR61" s="193"/>
      <c r="CS61" s="193"/>
      <c r="CT61" s="193"/>
      <c r="CU61" s="193"/>
      <c r="CV61" s="194"/>
      <c r="CW61" s="194"/>
      <c r="CX61" s="194"/>
      <c r="CY61" s="194"/>
      <c r="CZ61" s="194"/>
      <c r="DA61" s="195"/>
      <c r="DC61" s="192"/>
      <c r="DD61" s="193"/>
      <c r="DE61" s="193"/>
      <c r="DF61" s="193"/>
      <c r="DG61" s="193"/>
      <c r="DH61" s="193"/>
      <c r="DI61" s="193"/>
      <c r="DJ61" s="193"/>
      <c r="DK61" s="193"/>
      <c r="DL61" s="193"/>
      <c r="DM61" s="193"/>
      <c r="DN61" s="193"/>
      <c r="DO61" s="193"/>
      <c r="DP61" s="193"/>
      <c r="DQ61" s="194"/>
      <c r="DR61" s="194"/>
      <c r="DS61" s="194"/>
      <c r="DT61" s="194"/>
      <c r="DU61" s="194"/>
      <c r="DV61" s="195"/>
    </row>
    <row r="62" spans="1:126" x14ac:dyDescent="0.2">
      <c r="A62" s="143" t="s">
        <v>425</v>
      </c>
      <c r="AJ62" s="133"/>
      <c r="AK62" s="133"/>
      <c r="AL62" s="183"/>
      <c r="AM62" s="183"/>
      <c r="AN62" s="183"/>
      <c r="AO62" s="183"/>
      <c r="AP62" s="183"/>
      <c r="AQ62" s="183"/>
      <c r="AR62" s="183"/>
      <c r="AS62" s="183"/>
      <c r="AT62" s="183"/>
      <c r="AU62" s="183"/>
      <c r="AV62" s="183"/>
      <c r="AW62" s="183"/>
      <c r="AX62" s="183"/>
      <c r="AY62" s="183"/>
      <c r="AZ62" s="183"/>
      <c r="BA62" s="183"/>
      <c r="BB62" s="183"/>
      <c r="BC62" s="183"/>
      <c r="BD62" s="183"/>
      <c r="BE62" s="183"/>
      <c r="BF62" s="133"/>
      <c r="CG62" s="176"/>
      <c r="CH62" s="169"/>
      <c r="CI62" s="177"/>
      <c r="CJ62" s="177"/>
      <c r="CK62" s="177"/>
      <c r="CL62" s="177"/>
      <c r="CM62" s="177"/>
      <c r="CN62" s="177"/>
      <c r="CO62" s="177"/>
      <c r="CP62" s="177"/>
      <c r="CQ62" s="177"/>
      <c r="CR62" s="177"/>
      <c r="CS62" s="177"/>
      <c r="CT62" s="177"/>
      <c r="CU62" s="177"/>
      <c r="CV62" s="172"/>
      <c r="CW62" s="172"/>
      <c r="CX62" s="172"/>
      <c r="CY62" s="172"/>
      <c r="CZ62" s="172"/>
      <c r="DA62" s="196"/>
      <c r="DC62" s="169"/>
      <c r="DD62" s="177"/>
      <c r="DE62" s="177"/>
      <c r="DF62" s="177"/>
      <c r="DG62" s="177"/>
      <c r="DH62" s="177"/>
      <c r="DI62" s="177"/>
      <c r="DJ62" s="177"/>
      <c r="DK62" s="177"/>
      <c r="DL62" s="177"/>
      <c r="DM62" s="177"/>
      <c r="DN62" s="177"/>
      <c r="DO62" s="177"/>
      <c r="DP62" s="177"/>
      <c r="DQ62" s="172"/>
      <c r="DR62" s="172"/>
      <c r="DS62" s="172"/>
      <c r="DT62" s="172"/>
      <c r="DU62" s="172"/>
      <c r="DV62" s="196"/>
    </row>
    <row r="63" spans="1:126" x14ac:dyDescent="0.2">
      <c r="A63" s="143" t="s">
        <v>426</v>
      </c>
      <c r="AJ63" s="133"/>
      <c r="AK63" s="13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33"/>
      <c r="CG63" s="131"/>
      <c r="CH63" s="169"/>
      <c r="CI63" s="177"/>
      <c r="CJ63" s="177"/>
      <c r="CK63" s="177"/>
      <c r="CL63" s="177"/>
      <c r="CM63" s="177"/>
      <c r="CN63" s="177"/>
      <c r="CO63" s="177"/>
      <c r="CP63" s="177"/>
      <c r="CQ63" s="177"/>
      <c r="CR63" s="177"/>
      <c r="CS63" s="177"/>
      <c r="CT63" s="177"/>
      <c r="CU63" s="177"/>
      <c r="CV63" s="172"/>
      <c r="CW63" s="172"/>
      <c r="CX63" s="172"/>
      <c r="CY63" s="172"/>
      <c r="CZ63" s="172"/>
      <c r="DA63" s="196"/>
      <c r="DC63" s="169"/>
      <c r="DD63" s="177"/>
      <c r="DE63" s="177"/>
      <c r="DF63" s="177"/>
      <c r="DG63" s="177"/>
      <c r="DH63" s="177"/>
      <c r="DI63" s="177"/>
      <c r="DJ63" s="177"/>
      <c r="DK63" s="177"/>
      <c r="DL63" s="177"/>
      <c r="DM63" s="177"/>
      <c r="DN63" s="177"/>
      <c r="DO63" s="177"/>
      <c r="DP63" s="177"/>
      <c r="DQ63" s="172"/>
      <c r="DR63" s="172"/>
      <c r="DS63" s="172"/>
      <c r="DT63" s="172"/>
      <c r="DU63" s="172"/>
      <c r="DV63" s="196"/>
    </row>
    <row r="64" spans="1:126" x14ac:dyDescent="0.2">
      <c r="A64" s="143" t="s">
        <v>427</v>
      </c>
      <c r="AJ64" s="133"/>
      <c r="AK64" s="13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33"/>
      <c r="CG64" s="176"/>
      <c r="CH64" s="169"/>
      <c r="CI64" s="177"/>
      <c r="CJ64" s="177"/>
      <c r="CK64" s="177"/>
      <c r="CL64" s="177"/>
      <c r="CM64" s="177"/>
      <c r="CN64" s="177"/>
      <c r="CO64" s="177"/>
      <c r="CP64" s="177"/>
      <c r="CQ64" s="177"/>
      <c r="CR64" s="177"/>
      <c r="CS64" s="177"/>
      <c r="CT64" s="177"/>
      <c r="CU64" s="177"/>
      <c r="CV64" s="172"/>
      <c r="CW64" s="172"/>
      <c r="CX64" s="172"/>
      <c r="CY64" s="172"/>
      <c r="CZ64" s="172"/>
      <c r="DA64" s="196"/>
      <c r="DC64" s="169"/>
      <c r="DD64" s="177"/>
      <c r="DE64" s="177"/>
      <c r="DF64" s="177"/>
      <c r="DG64" s="177"/>
      <c r="DH64" s="177"/>
      <c r="DI64" s="177"/>
      <c r="DJ64" s="177"/>
      <c r="DK64" s="177"/>
      <c r="DL64" s="177"/>
      <c r="DM64" s="177"/>
      <c r="DN64" s="177"/>
      <c r="DO64" s="177"/>
      <c r="DP64" s="177"/>
      <c r="DQ64" s="172"/>
      <c r="DR64" s="172"/>
      <c r="DS64" s="172"/>
      <c r="DT64" s="172"/>
      <c r="DU64" s="172"/>
      <c r="DV64" s="196"/>
    </row>
    <row r="65" spans="1:126" x14ac:dyDescent="0.2">
      <c r="A65" s="143" t="s">
        <v>428</v>
      </c>
      <c r="AJ65" s="133"/>
      <c r="AK65" s="13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33"/>
      <c r="CG65" s="178"/>
      <c r="CH65" s="169"/>
      <c r="CI65" s="177"/>
      <c r="CJ65" s="177"/>
      <c r="CK65" s="177"/>
      <c r="CL65" s="177"/>
      <c r="CM65" s="177"/>
      <c r="CN65" s="177"/>
      <c r="CO65" s="177"/>
      <c r="CP65" s="177"/>
      <c r="CQ65" s="177"/>
      <c r="CR65" s="177"/>
      <c r="CS65" s="177"/>
      <c r="CT65" s="177"/>
      <c r="CU65" s="177"/>
      <c r="CV65" s="172"/>
      <c r="CW65" s="172"/>
      <c r="CX65" s="172"/>
      <c r="CY65" s="172"/>
      <c r="CZ65" s="172"/>
      <c r="DA65" s="196"/>
      <c r="DC65" s="169"/>
      <c r="DD65" s="177"/>
      <c r="DE65" s="177"/>
      <c r="DF65" s="177"/>
      <c r="DG65" s="177"/>
      <c r="DH65" s="177"/>
      <c r="DI65" s="177"/>
      <c r="DJ65" s="177"/>
      <c r="DK65" s="177"/>
      <c r="DL65" s="177"/>
      <c r="DM65" s="177"/>
      <c r="DN65" s="177"/>
      <c r="DO65" s="177"/>
      <c r="DP65" s="177"/>
      <c r="DQ65" s="172"/>
      <c r="DR65" s="172"/>
      <c r="DS65" s="172"/>
      <c r="DT65" s="172"/>
      <c r="DU65" s="172"/>
      <c r="DV65" s="196"/>
    </row>
    <row r="66" spans="1:126" x14ac:dyDescent="0.2">
      <c r="A66" s="143" t="s">
        <v>429</v>
      </c>
      <c r="AJ66" s="133"/>
      <c r="AK66" s="133"/>
      <c r="AL66" s="183"/>
      <c r="AM66" s="183"/>
      <c r="AN66" s="183"/>
      <c r="AO66" s="183"/>
      <c r="AP66" s="183"/>
      <c r="AQ66" s="183"/>
      <c r="AR66" s="183"/>
      <c r="AS66" s="183"/>
      <c r="AT66" s="183"/>
      <c r="AU66" s="183"/>
      <c r="AV66" s="183"/>
      <c r="AW66" s="183"/>
      <c r="AX66" s="183"/>
      <c r="AY66" s="183"/>
      <c r="AZ66" s="183"/>
      <c r="BA66" s="183"/>
      <c r="BB66" s="183"/>
      <c r="BC66" s="183"/>
      <c r="BD66" s="183"/>
      <c r="BE66" s="183"/>
      <c r="BF66" s="133"/>
      <c r="CG66" s="179"/>
      <c r="CH66" s="169"/>
      <c r="CI66" s="177"/>
      <c r="CJ66" s="177"/>
      <c r="CK66" s="177"/>
      <c r="CL66" s="177"/>
      <c r="CM66" s="177"/>
      <c r="CN66" s="177"/>
      <c r="CO66" s="177"/>
      <c r="CP66" s="177"/>
      <c r="CQ66" s="177"/>
      <c r="CR66" s="177"/>
      <c r="CS66" s="177"/>
      <c r="CT66" s="177"/>
      <c r="CU66" s="177"/>
      <c r="CV66" s="172"/>
      <c r="CW66" s="172"/>
      <c r="CX66" s="172"/>
      <c r="CY66" s="172"/>
      <c r="CZ66" s="172"/>
      <c r="DA66" s="196"/>
      <c r="DC66" s="169"/>
      <c r="DD66" s="177"/>
      <c r="DE66" s="177"/>
      <c r="DF66" s="177"/>
      <c r="DG66" s="177"/>
      <c r="DH66" s="177"/>
      <c r="DI66" s="177"/>
      <c r="DJ66" s="177"/>
      <c r="DK66" s="177"/>
      <c r="DL66" s="177"/>
      <c r="DM66" s="177"/>
      <c r="DN66" s="177"/>
      <c r="DO66" s="177"/>
      <c r="DP66" s="177"/>
      <c r="DQ66" s="172"/>
      <c r="DR66" s="172"/>
      <c r="DS66" s="172"/>
      <c r="DT66" s="172"/>
      <c r="DU66" s="172"/>
      <c r="DV66" s="196"/>
    </row>
    <row r="67" spans="1:126" x14ac:dyDescent="0.2">
      <c r="A67" s="143" t="s">
        <v>430</v>
      </c>
      <c r="AJ67" s="133"/>
      <c r="AK67" s="13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33"/>
      <c r="CG67" s="179"/>
      <c r="CH67" s="169"/>
      <c r="CI67" s="177"/>
      <c r="CJ67" s="177"/>
      <c r="CK67" s="177"/>
      <c r="CL67" s="177"/>
      <c r="CM67" s="177"/>
      <c r="CN67" s="177"/>
      <c r="CO67" s="177"/>
      <c r="CP67" s="177"/>
      <c r="CQ67" s="177"/>
      <c r="CR67" s="177"/>
      <c r="CS67" s="177"/>
      <c r="CT67" s="177"/>
      <c r="CU67" s="177"/>
      <c r="CV67" s="172"/>
      <c r="CW67" s="172"/>
      <c r="CX67" s="172"/>
      <c r="CY67" s="172"/>
      <c r="CZ67" s="172"/>
      <c r="DA67" s="196"/>
      <c r="DC67" s="169"/>
      <c r="DD67" s="177"/>
      <c r="DE67" s="177"/>
      <c r="DF67" s="177"/>
      <c r="DG67" s="177"/>
      <c r="DH67" s="177"/>
      <c r="DI67" s="177"/>
      <c r="DJ67" s="177"/>
      <c r="DK67" s="177"/>
      <c r="DL67" s="177"/>
      <c r="DM67" s="177"/>
      <c r="DN67" s="177"/>
      <c r="DO67" s="177"/>
      <c r="DP67" s="177"/>
      <c r="DQ67" s="172"/>
      <c r="DR67" s="172"/>
      <c r="DS67" s="172"/>
      <c r="DT67" s="172"/>
      <c r="DU67" s="172"/>
      <c r="DV67" s="196"/>
    </row>
    <row r="68" spans="1:126" x14ac:dyDescent="0.2">
      <c r="A68" s="143" t="s">
        <v>431</v>
      </c>
      <c r="AJ68" s="133"/>
      <c r="AK68" s="13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33"/>
      <c r="CG68" s="179"/>
      <c r="CH68" s="169"/>
      <c r="CI68" s="177"/>
      <c r="CJ68" s="177"/>
      <c r="CK68" s="177"/>
      <c r="CL68" s="177"/>
      <c r="CM68" s="177"/>
      <c r="CN68" s="177"/>
      <c r="CO68" s="177"/>
      <c r="CP68" s="177"/>
      <c r="CQ68" s="177"/>
      <c r="CR68" s="177"/>
      <c r="CS68" s="177"/>
      <c r="CT68" s="177"/>
      <c r="CU68" s="177"/>
      <c r="CV68" s="172"/>
      <c r="CW68" s="172"/>
      <c r="CX68" s="172"/>
      <c r="CY68" s="172"/>
      <c r="CZ68" s="172"/>
      <c r="DA68" s="196"/>
      <c r="DC68" s="169"/>
      <c r="DD68" s="177"/>
      <c r="DE68" s="177"/>
      <c r="DF68" s="177"/>
      <c r="DG68" s="177"/>
      <c r="DH68" s="177"/>
      <c r="DI68" s="177"/>
      <c r="DJ68" s="177"/>
      <c r="DK68" s="177"/>
      <c r="DL68" s="177"/>
      <c r="DM68" s="177"/>
      <c r="DN68" s="177"/>
      <c r="DO68" s="177"/>
      <c r="DP68" s="177"/>
      <c r="DQ68" s="172"/>
      <c r="DR68" s="172"/>
      <c r="DS68" s="172"/>
      <c r="DT68" s="172"/>
      <c r="DU68" s="172"/>
      <c r="DV68" s="196"/>
    </row>
    <row r="69" spans="1:126" x14ac:dyDescent="0.2">
      <c r="A69" s="143" t="s">
        <v>432</v>
      </c>
      <c r="AJ69" s="133"/>
      <c r="AK69" s="133"/>
      <c r="AL69" s="183"/>
      <c r="AM69" s="183"/>
      <c r="AN69" s="183"/>
      <c r="AO69" s="183"/>
      <c r="AP69" s="183"/>
      <c r="AQ69" s="183"/>
      <c r="AR69" s="183"/>
      <c r="AS69" s="183"/>
      <c r="AT69" s="183"/>
      <c r="AU69" s="183"/>
      <c r="AV69" s="183"/>
      <c r="AW69" s="183"/>
      <c r="AX69" s="183"/>
      <c r="AY69" s="183"/>
      <c r="AZ69" s="183"/>
      <c r="BA69" s="183"/>
      <c r="BB69" s="183"/>
      <c r="BC69" s="183"/>
      <c r="BD69" s="183"/>
      <c r="BE69" s="183"/>
      <c r="BF69" s="133"/>
      <c r="CG69" s="179"/>
      <c r="CH69" s="169"/>
      <c r="CI69" s="177"/>
      <c r="CJ69" s="177"/>
      <c r="CK69" s="177"/>
      <c r="CL69" s="177"/>
      <c r="CM69" s="177"/>
      <c r="CN69" s="177"/>
      <c r="CO69" s="177"/>
      <c r="CP69" s="177"/>
      <c r="CQ69" s="177"/>
      <c r="CR69" s="177"/>
      <c r="CS69" s="177"/>
      <c r="CT69" s="177"/>
      <c r="CU69" s="177"/>
      <c r="CV69" s="172"/>
      <c r="CW69" s="172"/>
      <c r="CX69" s="172"/>
      <c r="CY69" s="172"/>
      <c r="CZ69" s="172"/>
      <c r="DA69" s="196"/>
      <c r="DC69" s="169"/>
      <c r="DD69" s="177"/>
      <c r="DE69" s="177"/>
      <c r="DF69" s="177"/>
      <c r="DG69" s="177"/>
      <c r="DH69" s="177"/>
      <c r="DI69" s="177"/>
      <c r="DJ69" s="177"/>
      <c r="DK69" s="177"/>
      <c r="DL69" s="177"/>
      <c r="DM69" s="177"/>
      <c r="DN69" s="177"/>
      <c r="DO69" s="177"/>
      <c r="DP69" s="177"/>
      <c r="DQ69" s="172"/>
      <c r="DR69" s="172"/>
      <c r="DS69" s="172"/>
      <c r="DT69" s="172"/>
      <c r="DU69" s="172"/>
      <c r="DV69" s="196"/>
    </row>
    <row r="70" spans="1:126" x14ac:dyDescent="0.2">
      <c r="A70" s="143" t="s">
        <v>433</v>
      </c>
      <c r="AJ70" s="133"/>
      <c r="AK70" s="133"/>
      <c r="AL70" s="183"/>
      <c r="AM70" s="183"/>
      <c r="AN70" s="183"/>
      <c r="AO70" s="183"/>
      <c r="AP70" s="183"/>
      <c r="AQ70" s="183"/>
      <c r="AR70" s="183"/>
      <c r="AS70" s="183"/>
      <c r="AT70" s="183"/>
      <c r="AU70" s="183"/>
      <c r="AV70" s="183"/>
      <c r="AW70" s="183"/>
      <c r="AX70" s="183"/>
      <c r="AY70" s="183"/>
      <c r="AZ70" s="183"/>
      <c r="BA70" s="183"/>
      <c r="BB70" s="183"/>
      <c r="BC70" s="183"/>
      <c r="BD70" s="183"/>
      <c r="BE70" s="183"/>
      <c r="BF70" s="133"/>
      <c r="CG70" s="179"/>
      <c r="CH70" s="169"/>
      <c r="CI70" s="177"/>
      <c r="CJ70" s="177"/>
      <c r="CK70" s="177"/>
      <c r="CL70" s="177"/>
      <c r="CM70" s="177"/>
      <c r="CN70" s="177"/>
      <c r="CO70" s="177"/>
      <c r="CP70" s="177"/>
      <c r="CQ70" s="177"/>
      <c r="CR70" s="177"/>
      <c r="CS70" s="177"/>
      <c r="CT70" s="177"/>
      <c r="CU70" s="177"/>
      <c r="CV70" s="172"/>
      <c r="CW70" s="172"/>
      <c r="CX70" s="172"/>
      <c r="CY70" s="172"/>
      <c r="CZ70" s="172"/>
      <c r="DA70" s="196"/>
      <c r="DC70" s="169"/>
      <c r="DD70" s="177"/>
      <c r="DE70" s="177"/>
      <c r="DF70" s="177"/>
      <c r="DG70" s="177"/>
      <c r="DH70" s="177"/>
      <c r="DI70" s="177"/>
      <c r="DJ70" s="177"/>
      <c r="DK70" s="177"/>
      <c r="DL70" s="177"/>
      <c r="DM70" s="177"/>
      <c r="DN70" s="177"/>
      <c r="DO70" s="177"/>
      <c r="DP70" s="177"/>
      <c r="DQ70" s="172"/>
      <c r="DR70" s="172"/>
      <c r="DS70" s="172"/>
      <c r="DT70" s="172"/>
      <c r="DU70" s="172"/>
      <c r="DV70" s="196"/>
    </row>
    <row r="71" spans="1:126" x14ac:dyDescent="0.2">
      <c r="A71" s="143" t="s">
        <v>434</v>
      </c>
      <c r="AJ71" s="133"/>
      <c r="AK71" s="133"/>
      <c r="AL71" s="183"/>
      <c r="AM71" s="183"/>
      <c r="AN71" s="183"/>
      <c r="AO71" s="183"/>
      <c r="AP71" s="183"/>
      <c r="AQ71" s="183"/>
      <c r="AR71" s="183"/>
      <c r="AS71" s="183"/>
      <c r="AT71" s="183"/>
      <c r="AU71" s="183"/>
      <c r="AV71" s="183"/>
      <c r="AW71" s="183"/>
      <c r="AX71" s="183"/>
      <c r="AY71" s="183"/>
      <c r="AZ71" s="183"/>
      <c r="BA71" s="183"/>
      <c r="BB71" s="183"/>
      <c r="BC71" s="183"/>
      <c r="BD71" s="183"/>
      <c r="BE71" s="183"/>
      <c r="BF71" s="133"/>
      <c r="CG71" s="179"/>
      <c r="CH71" s="169"/>
      <c r="CI71" s="177"/>
      <c r="CJ71" s="177"/>
      <c r="CK71" s="177"/>
      <c r="CL71" s="177"/>
      <c r="CM71" s="177"/>
      <c r="CN71" s="177"/>
      <c r="CO71" s="177"/>
      <c r="CP71" s="177"/>
      <c r="CQ71" s="177"/>
      <c r="CR71" s="177"/>
      <c r="CS71" s="177"/>
      <c r="CT71" s="177"/>
      <c r="CU71" s="177"/>
      <c r="CV71" s="172"/>
      <c r="CW71" s="172"/>
      <c r="CX71" s="172"/>
      <c r="CY71" s="172"/>
      <c r="CZ71" s="172"/>
      <c r="DA71" s="196"/>
      <c r="DC71" s="169"/>
      <c r="DD71" s="177"/>
      <c r="DE71" s="177"/>
      <c r="DF71" s="177"/>
      <c r="DG71" s="177"/>
      <c r="DH71" s="177"/>
      <c r="DI71" s="177"/>
      <c r="DJ71" s="177"/>
      <c r="DK71" s="177"/>
      <c r="DL71" s="177"/>
      <c r="DM71" s="177"/>
      <c r="DN71" s="177"/>
      <c r="DO71" s="177"/>
      <c r="DP71" s="177"/>
      <c r="DQ71" s="172"/>
      <c r="DR71" s="172"/>
      <c r="DS71" s="172"/>
      <c r="DT71" s="172"/>
      <c r="DU71" s="172"/>
      <c r="DV71" s="196"/>
    </row>
    <row r="72" spans="1:126" x14ac:dyDescent="0.2">
      <c r="A72" s="143" t="s">
        <v>435</v>
      </c>
      <c r="AJ72" s="133"/>
      <c r="AK72" s="133"/>
      <c r="AL72" s="183"/>
      <c r="AM72" s="183"/>
      <c r="AN72" s="183"/>
      <c r="AO72" s="183"/>
      <c r="AP72" s="183"/>
      <c r="AQ72" s="183"/>
      <c r="AR72" s="183"/>
      <c r="AS72" s="183"/>
      <c r="AT72" s="183"/>
      <c r="AU72" s="183"/>
      <c r="AV72" s="183"/>
      <c r="AW72" s="183"/>
      <c r="AX72" s="183"/>
      <c r="AY72" s="183"/>
      <c r="AZ72" s="183"/>
      <c r="BA72" s="183"/>
      <c r="BB72" s="183"/>
      <c r="BC72" s="183"/>
      <c r="BD72" s="183"/>
      <c r="BE72" s="183"/>
      <c r="BF72" s="133"/>
      <c r="CG72" s="179"/>
      <c r="CH72" s="169"/>
      <c r="CI72" s="177"/>
      <c r="CJ72" s="177"/>
      <c r="CK72" s="177"/>
      <c r="CL72" s="177"/>
      <c r="CM72" s="177"/>
      <c r="CN72" s="177"/>
      <c r="CO72" s="177"/>
      <c r="CP72" s="177"/>
      <c r="CQ72" s="177"/>
      <c r="CR72" s="177"/>
      <c r="CS72" s="177"/>
      <c r="CT72" s="177"/>
      <c r="CU72" s="177"/>
      <c r="CV72" s="172"/>
      <c r="CW72" s="172"/>
      <c r="CX72" s="172"/>
      <c r="CY72" s="172"/>
      <c r="CZ72" s="172"/>
      <c r="DA72" s="196"/>
      <c r="DC72" s="169"/>
      <c r="DD72" s="177"/>
      <c r="DE72" s="177"/>
      <c r="DF72" s="177"/>
      <c r="DG72" s="177"/>
      <c r="DH72" s="177"/>
      <c r="DI72" s="177"/>
      <c r="DJ72" s="177"/>
      <c r="DK72" s="177"/>
      <c r="DL72" s="177"/>
      <c r="DM72" s="177"/>
      <c r="DN72" s="177"/>
      <c r="DO72" s="177"/>
      <c r="DP72" s="177"/>
      <c r="DQ72" s="172"/>
      <c r="DR72" s="172"/>
      <c r="DS72" s="172"/>
      <c r="DT72" s="172"/>
      <c r="DU72" s="172"/>
      <c r="DV72" s="196"/>
    </row>
    <row r="73" spans="1:126" x14ac:dyDescent="0.2">
      <c r="A73" s="143" t="s">
        <v>436</v>
      </c>
      <c r="AJ73" s="133"/>
      <c r="AK73" s="133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33"/>
      <c r="CG73" s="179"/>
      <c r="CH73" s="197"/>
      <c r="CI73" s="180"/>
      <c r="CJ73" s="180"/>
      <c r="CK73" s="180"/>
      <c r="CL73" s="180"/>
      <c r="CM73" s="180"/>
      <c r="CN73" s="180"/>
      <c r="CO73" s="180"/>
      <c r="CP73" s="180"/>
      <c r="CQ73" s="180"/>
      <c r="CR73" s="180"/>
      <c r="CS73" s="180"/>
      <c r="CT73" s="180"/>
      <c r="CU73" s="180"/>
      <c r="CV73" s="173"/>
      <c r="CW73" s="173"/>
      <c r="CX73" s="173"/>
      <c r="CY73" s="173"/>
      <c r="CZ73" s="173"/>
      <c r="DA73" s="198"/>
      <c r="DC73" s="197"/>
      <c r="DD73" s="180"/>
      <c r="DE73" s="180"/>
      <c r="DF73" s="180"/>
      <c r="DG73" s="180"/>
      <c r="DH73" s="180"/>
      <c r="DI73" s="180"/>
      <c r="DJ73" s="180"/>
      <c r="DK73" s="180"/>
      <c r="DL73" s="180"/>
      <c r="DM73" s="180"/>
      <c r="DN73" s="180"/>
      <c r="DO73" s="180"/>
      <c r="DP73" s="180"/>
      <c r="DQ73" s="173"/>
      <c r="DR73" s="173"/>
      <c r="DS73" s="173"/>
      <c r="DT73" s="173"/>
      <c r="DU73" s="173"/>
      <c r="DV73" s="198"/>
    </row>
    <row r="74" spans="1:126" x14ac:dyDescent="0.2">
      <c r="A74" s="143" t="s">
        <v>437</v>
      </c>
      <c r="AJ74" s="133"/>
      <c r="AK74" s="133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33"/>
      <c r="CG74" s="179"/>
      <c r="CH74" s="197"/>
      <c r="CI74" s="180"/>
      <c r="CJ74" s="180"/>
      <c r="CK74" s="180"/>
      <c r="CL74" s="180"/>
      <c r="CM74" s="180"/>
      <c r="CN74" s="180"/>
      <c r="CO74" s="180"/>
      <c r="CP74" s="180"/>
      <c r="CQ74" s="180"/>
      <c r="CR74" s="180"/>
      <c r="CS74" s="180"/>
      <c r="CT74" s="180"/>
      <c r="CU74" s="180"/>
      <c r="CV74" s="173"/>
      <c r="CW74" s="173"/>
      <c r="CX74" s="173"/>
      <c r="CY74" s="173"/>
      <c r="CZ74" s="173"/>
      <c r="DA74" s="198"/>
      <c r="DC74" s="197"/>
      <c r="DD74" s="180"/>
      <c r="DE74" s="180"/>
      <c r="DF74" s="180"/>
      <c r="DG74" s="180"/>
      <c r="DH74" s="180"/>
      <c r="DI74" s="180"/>
      <c r="DJ74" s="180"/>
      <c r="DK74" s="180"/>
      <c r="DL74" s="180"/>
      <c r="DM74" s="180"/>
      <c r="DN74" s="180"/>
      <c r="DO74" s="180"/>
      <c r="DP74" s="180"/>
      <c r="DQ74" s="173"/>
      <c r="DR74" s="173"/>
      <c r="DS74" s="173"/>
      <c r="DT74" s="173"/>
      <c r="DU74" s="173"/>
      <c r="DV74" s="198"/>
    </row>
    <row r="75" spans="1:126" x14ac:dyDescent="0.2">
      <c r="A75" s="143" t="s">
        <v>438</v>
      </c>
      <c r="AJ75" s="133"/>
      <c r="AK75" s="133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33"/>
      <c r="CG75" s="179"/>
      <c r="CH75" s="197"/>
      <c r="CI75" s="180"/>
      <c r="CJ75" s="180"/>
      <c r="CK75" s="180"/>
      <c r="CL75" s="180"/>
      <c r="CM75" s="180"/>
      <c r="CN75" s="180"/>
      <c r="CO75" s="180"/>
      <c r="CP75" s="180"/>
      <c r="CQ75" s="180"/>
      <c r="CR75" s="180"/>
      <c r="CS75" s="180"/>
      <c r="CT75" s="180"/>
      <c r="CU75" s="180"/>
      <c r="CV75" s="173"/>
      <c r="CW75" s="173"/>
      <c r="CX75" s="173"/>
      <c r="CY75" s="173"/>
      <c r="CZ75" s="173"/>
      <c r="DA75" s="198"/>
      <c r="DC75" s="197"/>
      <c r="DD75" s="180"/>
      <c r="DE75" s="180"/>
      <c r="DF75" s="180"/>
      <c r="DG75" s="180"/>
      <c r="DH75" s="180"/>
      <c r="DI75" s="180"/>
      <c r="DJ75" s="180"/>
      <c r="DK75" s="180"/>
      <c r="DL75" s="180"/>
      <c r="DM75" s="180"/>
      <c r="DN75" s="180"/>
      <c r="DO75" s="180"/>
      <c r="DP75" s="180"/>
      <c r="DQ75" s="173"/>
      <c r="DR75" s="173"/>
      <c r="DS75" s="173"/>
      <c r="DT75" s="173"/>
      <c r="DU75" s="173"/>
      <c r="DV75" s="198"/>
    </row>
    <row r="76" spans="1:126" x14ac:dyDescent="0.2">
      <c r="A76" s="143" t="s">
        <v>439</v>
      </c>
      <c r="AJ76" s="133"/>
      <c r="AK76" s="133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33"/>
      <c r="CG76" s="179"/>
      <c r="CH76" s="197"/>
      <c r="CI76" s="180"/>
      <c r="CJ76" s="180"/>
      <c r="CK76" s="180"/>
      <c r="CL76" s="180"/>
      <c r="CM76" s="180"/>
      <c r="CN76" s="180"/>
      <c r="CO76" s="180"/>
      <c r="CP76" s="180"/>
      <c r="CQ76" s="180"/>
      <c r="CR76" s="180"/>
      <c r="CS76" s="180"/>
      <c r="CT76" s="180"/>
      <c r="CU76" s="180"/>
      <c r="CV76" s="173"/>
      <c r="CW76" s="173"/>
      <c r="CX76" s="173"/>
      <c r="CY76" s="173"/>
      <c r="CZ76" s="173"/>
      <c r="DA76" s="198"/>
      <c r="DC76" s="197"/>
      <c r="DD76" s="180"/>
      <c r="DE76" s="180"/>
      <c r="DF76" s="180"/>
      <c r="DG76" s="180"/>
      <c r="DH76" s="180"/>
      <c r="DI76" s="180"/>
      <c r="DJ76" s="180"/>
      <c r="DK76" s="180"/>
      <c r="DL76" s="180"/>
      <c r="DM76" s="180"/>
      <c r="DN76" s="180"/>
      <c r="DO76" s="180"/>
      <c r="DP76" s="180"/>
      <c r="DQ76" s="173"/>
      <c r="DR76" s="173"/>
      <c r="DS76" s="173"/>
      <c r="DT76" s="173"/>
      <c r="DU76" s="173"/>
      <c r="DV76" s="198"/>
    </row>
    <row r="77" spans="1:126" x14ac:dyDescent="0.2">
      <c r="A77" s="144" t="s">
        <v>440</v>
      </c>
      <c r="AJ77" s="133"/>
      <c r="AK77" s="133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33"/>
      <c r="CG77" s="179"/>
      <c r="CH77" s="197"/>
      <c r="CI77" s="180"/>
      <c r="CJ77" s="180"/>
      <c r="CK77" s="180"/>
      <c r="CL77" s="180"/>
      <c r="CM77" s="180"/>
      <c r="CN77" s="180"/>
      <c r="CO77" s="180"/>
      <c r="CP77" s="180"/>
      <c r="CQ77" s="180"/>
      <c r="CR77" s="180"/>
      <c r="CS77" s="180"/>
      <c r="CT77" s="180"/>
      <c r="CU77" s="180"/>
      <c r="CV77" s="173"/>
      <c r="CW77" s="173"/>
      <c r="CX77" s="173"/>
      <c r="CY77" s="173"/>
      <c r="CZ77" s="173"/>
      <c r="DA77" s="198"/>
      <c r="DC77" s="197"/>
      <c r="DD77" s="180"/>
      <c r="DE77" s="180"/>
      <c r="DF77" s="180"/>
      <c r="DG77" s="180"/>
      <c r="DH77" s="180"/>
      <c r="DI77" s="180"/>
      <c r="DJ77" s="180"/>
      <c r="DK77" s="180"/>
      <c r="DL77" s="180"/>
      <c r="DM77" s="180"/>
      <c r="DN77" s="180"/>
      <c r="DO77" s="180"/>
      <c r="DP77" s="180"/>
      <c r="DQ77" s="173"/>
      <c r="DR77" s="173"/>
      <c r="DS77" s="173"/>
      <c r="DT77" s="173"/>
      <c r="DU77" s="173"/>
      <c r="DV77" s="198"/>
    </row>
    <row r="78" spans="1:126" x14ac:dyDescent="0.2">
      <c r="A78" s="142" t="s">
        <v>441</v>
      </c>
      <c r="AJ78" s="133"/>
      <c r="AK78" s="133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33"/>
      <c r="CG78" s="176"/>
      <c r="CH78" s="197"/>
      <c r="CI78" s="180"/>
      <c r="CJ78" s="180"/>
      <c r="CK78" s="180"/>
      <c r="CL78" s="180"/>
      <c r="CM78" s="180"/>
      <c r="CN78" s="180"/>
      <c r="CO78" s="180"/>
      <c r="CP78" s="180"/>
      <c r="CQ78" s="180"/>
      <c r="CR78" s="180"/>
      <c r="CS78" s="180"/>
      <c r="CT78" s="180"/>
      <c r="CU78" s="180"/>
      <c r="CV78" s="173"/>
      <c r="CW78" s="173"/>
      <c r="CX78" s="173"/>
      <c r="CY78" s="173"/>
      <c r="CZ78" s="173"/>
      <c r="DA78" s="198"/>
      <c r="DC78" s="197"/>
      <c r="DD78" s="180"/>
      <c r="DE78" s="180"/>
      <c r="DF78" s="180"/>
      <c r="DG78" s="180"/>
      <c r="DH78" s="180"/>
      <c r="DI78" s="180"/>
      <c r="DJ78" s="180"/>
      <c r="DK78" s="180"/>
      <c r="DL78" s="180"/>
      <c r="DM78" s="180"/>
      <c r="DN78" s="180"/>
      <c r="DO78" s="180"/>
      <c r="DP78" s="180"/>
      <c r="DQ78" s="173"/>
      <c r="DR78" s="173"/>
      <c r="DS78" s="173"/>
      <c r="DT78" s="173"/>
      <c r="DU78" s="173"/>
      <c r="DV78" s="198"/>
    </row>
    <row r="79" spans="1:126" x14ac:dyDescent="0.2">
      <c r="A79" s="143" t="s">
        <v>442</v>
      </c>
      <c r="AJ79" s="133"/>
      <c r="AK79" s="133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33"/>
      <c r="CG79" s="176"/>
      <c r="CH79" s="197"/>
      <c r="CI79" s="180"/>
      <c r="CJ79" s="180"/>
      <c r="CK79" s="180"/>
      <c r="CL79" s="180"/>
      <c r="CM79" s="180"/>
      <c r="CN79" s="180"/>
      <c r="CO79" s="180"/>
      <c r="CP79" s="180"/>
      <c r="CQ79" s="180"/>
      <c r="CR79" s="180"/>
      <c r="CS79" s="180"/>
      <c r="CT79" s="180"/>
      <c r="CU79" s="180"/>
      <c r="CV79" s="173"/>
      <c r="CW79" s="173"/>
      <c r="CX79" s="173"/>
      <c r="CY79" s="173"/>
      <c r="CZ79" s="173"/>
      <c r="DA79" s="198"/>
      <c r="DC79" s="197"/>
      <c r="DD79" s="180"/>
      <c r="DE79" s="180"/>
      <c r="DF79" s="180"/>
      <c r="DG79" s="180"/>
      <c r="DH79" s="180"/>
      <c r="DI79" s="180"/>
      <c r="DJ79" s="180"/>
      <c r="DK79" s="180"/>
      <c r="DL79" s="180"/>
      <c r="DM79" s="180"/>
      <c r="DN79" s="180"/>
      <c r="DO79" s="180"/>
      <c r="DP79" s="180"/>
      <c r="DQ79" s="173"/>
      <c r="DR79" s="173"/>
      <c r="DS79" s="173"/>
      <c r="DT79" s="173"/>
      <c r="DU79" s="173"/>
      <c r="DV79" s="198"/>
    </row>
    <row r="80" spans="1:126" x14ac:dyDescent="0.2">
      <c r="A80" s="143" t="s">
        <v>443</v>
      </c>
      <c r="AJ80" s="133"/>
      <c r="AK80" s="133"/>
      <c r="AL80" s="175"/>
      <c r="AM80" s="175"/>
      <c r="AN80" s="175"/>
      <c r="AO80" s="175"/>
      <c r="AP80" s="175"/>
      <c r="AQ80" s="175"/>
      <c r="AR80" s="175"/>
      <c r="AS80" s="175"/>
      <c r="AT80" s="175"/>
      <c r="AU80" s="133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33"/>
      <c r="CG80" s="176"/>
      <c r="CH80" s="199"/>
      <c r="CI80" s="200"/>
      <c r="CJ80" s="200"/>
      <c r="CK80" s="200"/>
      <c r="CL80" s="200"/>
      <c r="CM80" s="200"/>
      <c r="CN80" s="200"/>
      <c r="CO80" s="200"/>
      <c r="CP80" s="200"/>
      <c r="CQ80" s="201"/>
      <c r="CR80" s="202"/>
      <c r="CS80" s="200"/>
      <c r="CT80" s="200"/>
      <c r="CU80" s="200"/>
      <c r="CV80" s="203"/>
      <c r="CW80" s="203"/>
      <c r="CX80" s="203"/>
      <c r="CY80" s="203"/>
      <c r="CZ80" s="203"/>
      <c r="DA80" s="204"/>
      <c r="DC80" s="199"/>
      <c r="DD80" s="200"/>
      <c r="DE80" s="200"/>
      <c r="DF80" s="200"/>
      <c r="DG80" s="200"/>
      <c r="DH80" s="200"/>
      <c r="DI80" s="200"/>
      <c r="DJ80" s="200"/>
      <c r="DK80" s="200"/>
      <c r="DL80" s="200"/>
      <c r="DM80" s="200"/>
      <c r="DN80" s="200"/>
      <c r="DO80" s="200"/>
      <c r="DP80" s="200"/>
      <c r="DQ80" s="203"/>
      <c r="DR80" s="203"/>
      <c r="DS80" s="203"/>
      <c r="DT80" s="203"/>
      <c r="DU80" s="203"/>
      <c r="DV80" s="204"/>
    </row>
    <row r="81" spans="1:126" x14ac:dyDescent="0.2">
      <c r="A81" s="143" t="s">
        <v>444</v>
      </c>
      <c r="AJ81" s="133"/>
      <c r="AK81" s="133"/>
      <c r="AL81" s="183"/>
      <c r="AM81" s="183"/>
      <c r="AN81" s="183"/>
      <c r="AO81" s="183"/>
      <c r="AP81" s="183"/>
      <c r="AQ81" s="183"/>
      <c r="AR81" s="183"/>
      <c r="AS81" s="183"/>
      <c r="AT81" s="183"/>
      <c r="AU81" s="183"/>
      <c r="AV81" s="183"/>
      <c r="AW81" s="183"/>
      <c r="AX81" s="183"/>
      <c r="AY81" s="183"/>
      <c r="AZ81" s="183"/>
      <c r="BA81" s="183"/>
      <c r="BB81" s="183"/>
      <c r="BC81" s="183"/>
      <c r="BD81" s="183"/>
      <c r="BE81" s="183"/>
      <c r="BF81" s="133"/>
      <c r="CG81" s="176">
        <v>5</v>
      </c>
      <c r="CH81" s="192"/>
      <c r="CI81" s="193"/>
      <c r="CJ81" s="193"/>
      <c r="CK81" s="193"/>
      <c r="CL81" s="193"/>
      <c r="CM81" s="193"/>
      <c r="CN81" s="193"/>
      <c r="CO81" s="193"/>
      <c r="CP81" s="193"/>
      <c r="CQ81" s="193"/>
      <c r="CR81" s="193"/>
      <c r="CS81" s="193"/>
      <c r="CT81" s="193"/>
      <c r="CU81" s="193"/>
      <c r="CV81" s="194"/>
      <c r="CW81" s="194"/>
      <c r="CX81" s="194"/>
      <c r="CY81" s="194"/>
      <c r="CZ81" s="194"/>
      <c r="DA81" s="195"/>
      <c r="DC81" s="192"/>
      <c r="DD81" s="193"/>
      <c r="DE81" s="193"/>
      <c r="DF81" s="193"/>
      <c r="DG81" s="193"/>
      <c r="DH81" s="193"/>
      <c r="DI81" s="193"/>
      <c r="DJ81" s="193"/>
      <c r="DK81" s="193"/>
      <c r="DL81" s="193"/>
      <c r="DM81" s="193"/>
      <c r="DN81" s="193"/>
      <c r="DO81" s="193"/>
      <c r="DP81" s="193"/>
      <c r="DQ81" s="194"/>
      <c r="DR81" s="194"/>
      <c r="DS81" s="194"/>
      <c r="DT81" s="194"/>
      <c r="DU81" s="194"/>
      <c r="DV81" s="195"/>
    </row>
    <row r="82" spans="1:126" x14ac:dyDescent="0.2">
      <c r="A82" s="143" t="s">
        <v>445</v>
      </c>
      <c r="AJ82" s="133"/>
      <c r="AK82" s="133"/>
      <c r="AL82" s="183"/>
      <c r="AM82" s="183"/>
      <c r="AN82" s="183"/>
      <c r="AO82" s="183"/>
      <c r="AP82" s="183"/>
      <c r="AQ82" s="183"/>
      <c r="AR82" s="183"/>
      <c r="AS82" s="183"/>
      <c r="AT82" s="183"/>
      <c r="AU82" s="183"/>
      <c r="AV82" s="183"/>
      <c r="AW82" s="183"/>
      <c r="AX82" s="183"/>
      <c r="AY82" s="183"/>
      <c r="AZ82" s="183"/>
      <c r="BA82" s="183"/>
      <c r="BB82" s="183"/>
      <c r="BC82" s="183"/>
      <c r="BD82" s="183"/>
      <c r="BE82" s="183"/>
      <c r="BF82" s="133"/>
      <c r="CG82" s="176"/>
      <c r="CH82" s="169"/>
      <c r="CI82" s="177"/>
      <c r="CJ82" s="177"/>
      <c r="CK82" s="177"/>
      <c r="CL82" s="177"/>
      <c r="CM82" s="177"/>
      <c r="CN82" s="177"/>
      <c r="CO82" s="177"/>
      <c r="CP82" s="177"/>
      <c r="CQ82" s="177"/>
      <c r="CR82" s="177"/>
      <c r="CS82" s="177"/>
      <c r="CT82" s="177"/>
      <c r="CU82" s="177"/>
      <c r="CV82" s="172"/>
      <c r="CW82" s="172"/>
      <c r="CX82" s="172"/>
      <c r="CY82" s="172"/>
      <c r="CZ82" s="172"/>
      <c r="DA82" s="196"/>
      <c r="DC82" s="169"/>
      <c r="DD82" s="177"/>
      <c r="DE82" s="177"/>
      <c r="DF82" s="177"/>
      <c r="DG82" s="177"/>
      <c r="DH82" s="177"/>
      <c r="DI82" s="177"/>
      <c r="DJ82" s="177"/>
      <c r="DK82" s="177"/>
      <c r="DL82" s="177"/>
      <c r="DM82" s="177"/>
      <c r="DN82" s="177"/>
      <c r="DO82" s="177"/>
      <c r="DP82" s="177"/>
      <c r="DQ82" s="172"/>
      <c r="DR82" s="172"/>
      <c r="DS82" s="172"/>
      <c r="DT82" s="172"/>
      <c r="DU82" s="172"/>
      <c r="DV82" s="196"/>
    </row>
    <row r="83" spans="1:126" x14ac:dyDescent="0.2">
      <c r="A83" s="143" t="s">
        <v>446</v>
      </c>
      <c r="AJ83" s="133"/>
      <c r="AK83" s="133"/>
      <c r="AL83" s="183"/>
      <c r="AM83" s="183"/>
      <c r="AN83" s="183"/>
      <c r="AO83" s="183"/>
      <c r="AP83" s="183"/>
      <c r="AQ83" s="183"/>
      <c r="AR83" s="183"/>
      <c r="AS83" s="183"/>
      <c r="AT83" s="183"/>
      <c r="AU83" s="183"/>
      <c r="AV83" s="183"/>
      <c r="AW83" s="183"/>
      <c r="AX83" s="183"/>
      <c r="AY83" s="183"/>
      <c r="AZ83" s="183"/>
      <c r="BA83" s="183"/>
      <c r="BB83" s="183"/>
      <c r="BC83" s="183"/>
      <c r="BD83" s="183"/>
      <c r="BE83" s="183"/>
      <c r="BF83" s="133"/>
      <c r="CG83" s="131"/>
      <c r="CH83" s="169"/>
      <c r="CI83" s="177"/>
      <c r="CJ83" s="177"/>
      <c r="CK83" s="177"/>
      <c r="CL83" s="177"/>
      <c r="CM83" s="177"/>
      <c r="CN83" s="177"/>
      <c r="CO83" s="177"/>
      <c r="CP83" s="177"/>
      <c r="CQ83" s="177"/>
      <c r="CR83" s="177"/>
      <c r="CS83" s="177"/>
      <c r="CT83" s="177"/>
      <c r="CU83" s="177"/>
      <c r="CV83" s="172"/>
      <c r="CW83" s="172"/>
      <c r="CX83" s="172"/>
      <c r="CY83" s="172"/>
      <c r="CZ83" s="172"/>
      <c r="DA83" s="196"/>
      <c r="DC83" s="169"/>
      <c r="DD83" s="177"/>
      <c r="DE83" s="177"/>
      <c r="DF83" s="177"/>
      <c r="DG83" s="177"/>
      <c r="DH83" s="177"/>
      <c r="DI83" s="177"/>
      <c r="DJ83" s="177"/>
      <c r="DK83" s="177"/>
      <c r="DL83" s="177"/>
      <c r="DM83" s="177"/>
      <c r="DN83" s="177"/>
      <c r="DO83" s="177"/>
      <c r="DP83" s="177"/>
      <c r="DQ83" s="172"/>
      <c r="DR83" s="172"/>
      <c r="DS83" s="172"/>
      <c r="DT83" s="172"/>
      <c r="DU83" s="172"/>
      <c r="DV83" s="196"/>
    </row>
    <row r="84" spans="1:126" x14ac:dyDescent="0.2">
      <c r="A84" s="143" t="s">
        <v>447</v>
      </c>
      <c r="AJ84" s="133"/>
      <c r="AK84" s="133"/>
      <c r="AL84" s="183"/>
      <c r="AM84" s="183"/>
      <c r="AN84" s="183"/>
      <c r="AO84" s="183"/>
      <c r="AP84" s="183"/>
      <c r="AQ84" s="183"/>
      <c r="AR84" s="183"/>
      <c r="AS84" s="183"/>
      <c r="AT84" s="183"/>
      <c r="AU84" s="183"/>
      <c r="AV84" s="183"/>
      <c r="AW84" s="183"/>
      <c r="AX84" s="183"/>
      <c r="AY84" s="183"/>
      <c r="AZ84" s="183"/>
      <c r="BA84" s="183"/>
      <c r="BB84" s="183"/>
      <c r="BC84" s="183"/>
      <c r="BD84" s="183"/>
      <c r="BE84" s="183"/>
      <c r="BF84" s="133"/>
      <c r="CG84" s="176"/>
      <c r="CH84" s="169"/>
      <c r="CI84" s="177"/>
      <c r="CJ84" s="177"/>
      <c r="CK84" s="177"/>
      <c r="CL84" s="177"/>
      <c r="CM84" s="177"/>
      <c r="CN84" s="177"/>
      <c r="CO84" s="177"/>
      <c r="CP84" s="177"/>
      <c r="CQ84" s="177"/>
      <c r="CR84" s="177"/>
      <c r="CS84" s="177"/>
      <c r="CT84" s="177"/>
      <c r="CU84" s="177"/>
      <c r="CV84" s="172"/>
      <c r="CW84" s="172"/>
      <c r="CX84" s="172"/>
      <c r="CY84" s="172"/>
      <c r="CZ84" s="172"/>
      <c r="DA84" s="196"/>
      <c r="DC84" s="169"/>
      <c r="DD84" s="177"/>
      <c r="DE84" s="177"/>
      <c r="DF84" s="177"/>
      <c r="DG84" s="177"/>
      <c r="DH84" s="177"/>
      <c r="DI84" s="177"/>
      <c r="DJ84" s="177"/>
      <c r="DK84" s="177"/>
      <c r="DL84" s="177"/>
      <c r="DM84" s="177"/>
      <c r="DN84" s="177"/>
      <c r="DO84" s="177"/>
      <c r="DP84" s="177"/>
      <c r="DQ84" s="172"/>
      <c r="DR84" s="172"/>
      <c r="DS84" s="172"/>
      <c r="DT84" s="172"/>
      <c r="DU84" s="172"/>
      <c r="DV84" s="196"/>
    </row>
    <row r="85" spans="1:126" x14ac:dyDescent="0.2">
      <c r="A85" s="143" t="s">
        <v>448</v>
      </c>
      <c r="AJ85" s="133"/>
      <c r="AK85" s="133"/>
      <c r="AL85" s="183"/>
      <c r="AM85" s="183"/>
      <c r="AN85" s="183"/>
      <c r="AO85" s="183"/>
      <c r="AP85" s="183"/>
      <c r="AQ85" s="183"/>
      <c r="AR85" s="183"/>
      <c r="AS85" s="183"/>
      <c r="AT85" s="183"/>
      <c r="AU85" s="183"/>
      <c r="AV85" s="183"/>
      <c r="AW85" s="183"/>
      <c r="AX85" s="183"/>
      <c r="AY85" s="183"/>
      <c r="AZ85" s="183"/>
      <c r="BA85" s="183"/>
      <c r="BB85" s="183"/>
      <c r="BC85" s="183"/>
      <c r="BD85" s="183"/>
      <c r="BE85" s="183"/>
      <c r="BF85" s="133"/>
      <c r="CG85" s="178"/>
      <c r="CH85" s="169"/>
      <c r="CI85" s="177"/>
      <c r="CJ85" s="177"/>
      <c r="CK85" s="177"/>
      <c r="CL85" s="177"/>
      <c r="CM85" s="177"/>
      <c r="CN85" s="177"/>
      <c r="CO85" s="177"/>
      <c r="CP85" s="177"/>
      <c r="CQ85" s="177"/>
      <c r="CR85" s="177"/>
      <c r="CS85" s="177"/>
      <c r="CT85" s="177"/>
      <c r="CU85" s="177"/>
      <c r="CV85" s="172"/>
      <c r="CW85" s="172"/>
      <c r="CX85" s="172"/>
      <c r="CY85" s="172"/>
      <c r="CZ85" s="172"/>
      <c r="DA85" s="196"/>
      <c r="DC85" s="169"/>
      <c r="DD85" s="177"/>
      <c r="DE85" s="177"/>
      <c r="DF85" s="177"/>
      <c r="DG85" s="177"/>
      <c r="DH85" s="177"/>
      <c r="DI85" s="177"/>
      <c r="DJ85" s="177"/>
      <c r="DK85" s="177"/>
      <c r="DL85" s="177"/>
      <c r="DM85" s="177"/>
      <c r="DN85" s="177"/>
      <c r="DO85" s="177"/>
      <c r="DP85" s="177"/>
      <c r="DQ85" s="172"/>
      <c r="DR85" s="172"/>
      <c r="DS85" s="172"/>
      <c r="DT85" s="172"/>
      <c r="DU85" s="172"/>
      <c r="DV85" s="196"/>
    </row>
    <row r="86" spans="1:126" x14ac:dyDescent="0.2">
      <c r="A86" s="143" t="s">
        <v>449</v>
      </c>
      <c r="AJ86" s="133"/>
      <c r="AK86" s="133"/>
      <c r="AL86" s="183"/>
      <c r="AM86" s="183"/>
      <c r="AN86" s="183"/>
      <c r="AO86" s="183"/>
      <c r="AP86" s="183"/>
      <c r="AQ86" s="183"/>
      <c r="AR86" s="183"/>
      <c r="AS86" s="183"/>
      <c r="AT86" s="183"/>
      <c r="AU86" s="183"/>
      <c r="AV86" s="183"/>
      <c r="AW86" s="183"/>
      <c r="AX86" s="183"/>
      <c r="AY86" s="183"/>
      <c r="AZ86" s="183"/>
      <c r="BA86" s="183"/>
      <c r="BB86" s="183"/>
      <c r="BC86" s="183"/>
      <c r="BD86" s="183"/>
      <c r="BE86" s="183"/>
      <c r="BF86" s="133"/>
      <c r="CG86" s="179"/>
      <c r="CH86" s="169"/>
      <c r="CI86" s="177"/>
      <c r="CJ86" s="177"/>
      <c r="CK86" s="177"/>
      <c r="CL86" s="177"/>
      <c r="CM86" s="177"/>
      <c r="CN86" s="177"/>
      <c r="CO86" s="177"/>
      <c r="CP86" s="177"/>
      <c r="CQ86" s="177"/>
      <c r="CR86" s="177"/>
      <c r="CS86" s="177"/>
      <c r="CT86" s="177"/>
      <c r="CU86" s="177"/>
      <c r="CV86" s="172"/>
      <c r="CW86" s="172"/>
      <c r="CX86" s="172"/>
      <c r="CY86" s="172"/>
      <c r="CZ86" s="172"/>
      <c r="DA86" s="196"/>
      <c r="DC86" s="169"/>
      <c r="DD86" s="177"/>
      <c r="DE86" s="177"/>
      <c r="DF86" s="177"/>
      <c r="DG86" s="177"/>
      <c r="DH86" s="177"/>
      <c r="DI86" s="177"/>
      <c r="DJ86" s="177"/>
      <c r="DK86" s="177"/>
      <c r="DL86" s="177"/>
      <c r="DM86" s="177"/>
      <c r="DN86" s="177"/>
      <c r="DO86" s="177"/>
      <c r="DP86" s="177"/>
      <c r="DQ86" s="172"/>
      <c r="DR86" s="172"/>
      <c r="DS86" s="172"/>
      <c r="DT86" s="172"/>
      <c r="DU86" s="172"/>
      <c r="DV86" s="196"/>
    </row>
    <row r="87" spans="1:126" x14ac:dyDescent="0.2">
      <c r="A87" s="143" t="s">
        <v>450</v>
      </c>
      <c r="AJ87" s="133"/>
      <c r="AK87" s="133"/>
      <c r="AL87" s="183"/>
      <c r="AM87" s="183"/>
      <c r="AN87" s="183"/>
      <c r="AO87" s="183"/>
      <c r="AP87" s="183"/>
      <c r="AQ87" s="183"/>
      <c r="AR87" s="183"/>
      <c r="AS87" s="183"/>
      <c r="AT87" s="183"/>
      <c r="AU87" s="183"/>
      <c r="AV87" s="183"/>
      <c r="AW87" s="183"/>
      <c r="AX87" s="183"/>
      <c r="AY87" s="183"/>
      <c r="AZ87" s="183"/>
      <c r="BA87" s="183"/>
      <c r="BB87" s="183"/>
      <c r="BC87" s="183"/>
      <c r="BD87" s="183"/>
      <c r="BE87" s="183"/>
      <c r="BF87" s="133"/>
      <c r="CG87" s="179"/>
      <c r="CH87" s="169"/>
      <c r="CI87" s="177"/>
      <c r="CJ87" s="177"/>
      <c r="CK87" s="177"/>
      <c r="CL87" s="177"/>
      <c r="CM87" s="177"/>
      <c r="CN87" s="177"/>
      <c r="CO87" s="177"/>
      <c r="CP87" s="177"/>
      <c r="CQ87" s="177"/>
      <c r="CR87" s="177"/>
      <c r="CS87" s="177"/>
      <c r="CT87" s="177"/>
      <c r="CU87" s="177"/>
      <c r="CV87" s="172"/>
      <c r="CW87" s="172"/>
      <c r="CX87" s="172"/>
      <c r="CY87" s="172"/>
      <c r="CZ87" s="172"/>
      <c r="DA87" s="196"/>
      <c r="DC87" s="169"/>
      <c r="DD87" s="177"/>
      <c r="DE87" s="177"/>
      <c r="DF87" s="177"/>
      <c r="DG87" s="177"/>
      <c r="DH87" s="177"/>
      <c r="DI87" s="177"/>
      <c r="DJ87" s="177"/>
      <c r="DK87" s="177"/>
      <c r="DL87" s="177"/>
      <c r="DM87" s="177"/>
      <c r="DN87" s="177"/>
      <c r="DO87" s="177"/>
      <c r="DP87" s="177"/>
      <c r="DQ87" s="172"/>
      <c r="DR87" s="172"/>
      <c r="DS87" s="172"/>
      <c r="DT87" s="172"/>
      <c r="DU87" s="172"/>
      <c r="DV87" s="196"/>
    </row>
    <row r="88" spans="1:126" x14ac:dyDescent="0.2">
      <c r="A88" s="143" t="s">
        <v>451</v>
      </c>
      <c r="AJ88" s="133"/>
      <c r="AK88" s="133"/>
      <c r="AL88" s="183"/>
      <c r="AM88" s="183"/>
      <c r="AN88" s="183"/>
      <c r="AO88" s="183"/>
      <c r="AP88" s="183"/>
      <c r="AQ88" s="183"/>
      <c r="AR88" s="183"/>
      <c r="AS88" s="183"/>
      <c r="AT88" s="183"/>
      <c r="AU88" s="183"/>
      <c r="AV88" s="183"/>
      <c r="AW88" s="183"/>
      <c r="AX88" s="183"/>
      <c r="AY88" s="183"/>
      <c r="AZ88" s="183"/>
      <c r="BA88" s="183"/>
      <c r="BB88" s="183"/>
      <c r="BC88" s="183"/>
      <c r="BD88" s="183"/>
      <c r="BE88" s="183"/>
      <c r="BF88" s="133"/>
      <c r="CG88" s="179"/>
      <c r="CH88" s="169"/>
      <c r="CI88" s="177"/>
      <c r="CJ88" s="177"/>
      <c r="CK88" s="177"/>
      <c r="CL88" s="177"/>
      <c r="CM88" s="177"/>
      <c r="CN88" s="177"/>
      <c r="CO88" s="177"/>
      <c r="CP88" s="177"/>
      <c r="CQ88" s="177"/>
      <c r="CR88" s="177"/>
      <c r="CS88" s="177"/>
      <c r="CT88" s="177"/>
      <c r="CU88" s="177"/>
      <c r="CV88" s="172"/>
      <c r="CW88" s="172"/>
      <c r="CX88" s="172"/>
      <c r="CY88" s="172"/>
      <c r="CZ88" s="172"/>
      <c r="DA88" s="196"/>
      <c r="DC88" s="169"/>
      <c r="DD88" s="177"/>
      <c r="DE88" s="177"/>
      <c r="DF88" s="177"/>
      <c r="DG88" s="177"/>
      <c r="DH88" s="177"/>
      <c r="DI88" s="177"/>
      <c r="DJ88" s="177"/>
      <c r="DK88" s="177"/>
      <c r="DL88" s="177"/>
      <c r="DM88" s="177"/>
      <c r="DN88" s="177"/>
      <c r="DO88" s="177"/>
      <c r="DP88" s="177"/>
      <c r="DQ88" s="172"/>
      <c r="DR88" s="172"/>
      <c r="DS88" s="172"/>
      <c r="DT88" s="172"/>
      <c r="DU88" s="172"/>
      <c r="DV88" s="196"/>
    </row>
    <row r="89" spans="1:126" x14ac:dyDescent="0.2">
      <c r="A89" s="143" t="s">
        <v>452</v>
      </c>
      <c r="AJ89" s="133"/>
      <c r="AK89" s="133"/>
      <c r="AL89" s="183"/>
      <c r="AM89" s="183"/>
      <c r="AN89" s="183"/>
      <c r="AO89" s="183"/>
      <c r="AP89" s="183"/>
      <c r="AQ89" s="183"/>
      <c r="AR89" s="183"/>
      <c r="AS89" s="183"/>
      <c r="AT89" s="183"/>
      <c r="AU89" s="183"/>
      <c r="AV89" s="183"/>
      <c r="AW89" s="183"/>
      <c r="AX89" s="183"/>
      <c r="AY89" s="183"/>
      <c r="AZ89" s="183"/>
      <c r="BA89" s="183"/>
      <c r="BB89" s="183"/>
      <c r="BC89" s="183"/>
      <c r="BD89" s="183"/>
      <c r="BE89" s="183"/>
      <c r="BF89" s="133"/>
      <c r="CG89" s="179"/>
      <c r="CH89" s="169"/>
      <c r="CI89" s="177"/>
      <c r="CJ89" s="177"/>
      <c r="CK89" s="177"/>
      <c r="CL89" s="177"/>
      <c r="CM89" s="177"/>
      <c r="CN89" s="177"/>
      <c r="CO89" s="177"/>
      <c r="CP89" s="177"/>
      <c r="CQ89" s="177"/>
      <c r="CR89" s="177"/>
      <c r="CS89" s="177"/>
      <c r="CT89" s="177"/>
      <c r="CU89" s="177"/>
      <c r="CV89" s="172"/>
      <c r="CW89" s="172"/>
      <c r="CX89" s="172"/>
      <c r="CY89" s="172"/>
      <c r="CZ89" s="172"/>
      <c r="DA89" s="196"/>
      <c r="DC89" s="169"/>
      <c r="DD89" s="177"/>
      <c r="DE89" s="177"/>
      <c r="DF89" s="177"/>
      <c r="DG89" s="177"/>
      <c r="DH89" s="177"/>
      <c r="DI89" s="177"/>
      <c r="DJ89" s="177"/>
      <c r="DK89" s="177"/>
      <c r="DL89" s="177"/>
      <c r="DM89" s="177"/>
      <c r="DN89" s="177"/>
      <c r="DO89" s="177"/>
      <c r="DP89" s="177"/>
      <c r="DQ89" s="172"/>
      <c r="DR89" s="172"/>
      <c r="DS89" s="172"/>
      <c r="DT89" s="172"/>
      <c r="DU89" s="172"/>
      <c r="DV89" s="196"/>
    </row>
    <row r="90" spans="1:126" x14ac:dyDescent="0.2">
      <c r="A90" s="143" t="s">
        <v>453</v>
      </c>
      <c r="AJ90" s="133"/>
      <c r="AK90" s="133"/>
      <c r="AL90" s="183"/>
      <c r="AM90" s="183"/>
      <c r="AN90" s="183"/>
      <c r="AO90" s="183"/>
      <c r="AP90" s="183"/>
      <c r="AQ90" s="183"/>
      <c r="AR90" s="183"/>
      <c r="AS90" s="183"/>
      <c r="AT90" s="183"/>
      <c r="AU90" s="183"/>
      <c r="AV90" s="183"/>
      <c r="AW90" s="183"/>
      <c r="AX90" s="183"/>
      <c r="AY90" s="183"/>
      <c r="AZ90" s="183"/>
      <c r="BA90" s="183"/>
      <c r="BB90" s="183"/>
      <c r="BC90" s="183"/>
      <c r="BD90" s="183"/>
      <c r="BE90" s="183"/>
      <c r="BF90" s="133"/>
      <c r="CG90" s="179"/>
      <c r="CH90" s="169"/>
      <c r="CI90" s="177"/>
      <c r="CJ90" s="177"/>
      <c r="CK90" s="177"/>
      <c r="CL90" s="177"/>
      <c r="CM90" s="177"/>
      <c r="CN90" s="177"/>
      <c r="CO90" s="177"/>
      <c r="CP90" s="177"/>
      <c r="CQ90" s="177"/>
      <c r="CR90" s="177"/>
      <c r="CS90" s="177"/>
      <c r="CT90" s="177"/>
      <c r="CU90" s="177"/>
      <c r="CV90" s="172"/>
      <c r="CW90" s="172"/>
      <c r="CX90" s="172"/>
      <c r="CY90" s="172"/>
      <c r="CZ90" s="172"/>
      <c r="DA90" s="196"/>
      <c r="DC90" s="169"/>
      <c r="DD90" s="177"/>
      <c r="DE90" s="177"/>
      <c r="DF90" s="177"/>
      <c r="DG90" s="177"/>
      <c r="DH90" s="177"/>
      <c r="DI90" s="177"/>
      <c r="DJ90" s="177"/>
      <c r="DK90" s="177"/>
      <c r="DL90" s="177"/>
      <c r="DM90" s="177"/>
      <c r="DN90" s="177"/>
      <c r="DO90" s="177"/>
      <c r="DP90" s="177"/>
      <c r="DQ90" s="172"/>
      <c r="DR90" s="172"/>
      <c r="DS90" s="172"/>
      <c r="DT90" s="172"/>
      <c r="DU90" s="172"/>
      <c r="DV90" s="196"/>
    </row>
    <row r="91" spans="1:126" x14ac:dyDescent="0.2">
      <c r="A91" s="143" t="s">
        <v>454</v>
      </c>
      <c r="AJ91" s="133"/>
      <c r="AK91" s="133"/>
      <c r="AL91" s="183"/>
      <c r="AM91" s="183"/>
      <c r="AN91" s="183"/>
      <c r="AO91" s="183"/>
      <c r="AP91" s="183"/>
      <c r="AQ91" s="183"/>
      <c r="AR91" s="183"/>
      <c r="AS91" s="183"/>
      <c r="AT91" s="183"/>
      <c r="AU91" s="183"/>
      <c r="AV91" s="183"/>
      <c r="AW91" s="183"/>
      <c r="AX91" s="183"/>
      <c r="AY91" s="183"/>
      <c r="AZ91" s="183"/>
      <c r="BA91" s="183"/>
      <c r="BB91" s="183"/>
      <c r="BC91" s="183"/>
      <c r="BD91" s="183"/>
      <c r="BE91" s="183"/>
      <c r="BF91" s="133"/>
      <c r="CG91" s="179"/>
      <c r="CH91" s="169"/>
      <c r="CI91" s="177"/>
      <c r="CJ91" s="177"/>
      <c r="CK91" s="177"/>
      <c r="CL91" s="177"/>
      <c r="CM91" s="177"/>
      <c r="CN91" s="177"/>
      <c r="CO91" s="177"/>
      <c r="CP91" s="177"/>
      <c r="CQ91" s="177"/>
      <c r="CR91" s="177"/>
      <c r="CS91" s="177"/>
      <c r="CT91" s="177"/>
      <c r="CU91" s="177"/>
      <c r="CV91" s="172"/>
      <c r="CW91" s="172"/>
      <c r="CX91" s="172"/>
      <c r="CY91" s="172"/>
      <c r="CZ91" s="172"/>
      <c r="DA91" s="196"/>
      <c r="DC91" s="169"/>
      <c r="DD91" s="177"/>
      <c r="DE91" s="177"/>
      <c r="DF91" s="177"/>
      <c r="DG91" s="177"/>
      <c r="DH91" s="177"/>
      <c r="DI91" s="177"/>
      <c r="DJ91" s="177"/>
      <c r="DK91" s="177"/>
      <c r="DL91" s="177"/>
      <c r="DM91" s="177"/>
      <c r="DN91" s="177"/>
      <c r="DO91" s="177"/>
      <c r="DP91" s="177"/>
      <c r="DQ91" s="172"/>
      <c r="DR91" s="172"/>
      <c r="DS91" s="172"/>
      <c r="DT91" s="172"/>
      <c r="DU91" s="172"/>
      <c r="DV91" s="196"/>
    </row>
    <row r="92" spans="1:126" x14ac:dyDescent="0.2">
      <c r="A92" s="143" t="s">
        <v>455</v>
      </c>
      <c r="AJ92" s="133"/>
      <c r="AK92" s="133"/>
      <c r="AL92" s="183"/>
      <c r="AM92" s="183"/>
      <c r="AN92" s="183"/>
      <c r="AO92" s="183"/>
      <c r="AP92" s="183"/>
      <c r="AQ92" s="183"/>
      <c r="AR92" s="183"/>
      <c r="AS92" s="183"/>
      <c r="AT92" s="183"/>
      <c r="AU92" s="183"/>
      <c r="AV92" s="183"/>
      <c r="AW92" s="183"/>
      <c r="AX92" s="183"/>
      <c r="AY92" s="183"/>
      <c r="AZ92" s="183"/>
      <c r="BA92" s="183"/>
      <c r="BB92" s="183"/>
      <c r="BC92" s="183"/>
      <c r="BD92" s="183"/>
      <c r="BE92" s="183"/>
      <c r="BF92" s="133"/>
      <c r="CG92" s="179"/>
      <c r="CH92" s="169"/>
      <c r="CI92" s="177"/>
      <c r="CJ92" s="177"/>
      <c r="CK92" s="177"/>
      <c r="CL92" s="177"/>
      <c r="CM92" s="177"/>
      <c r="CN92" s="177"/>
      <c r="CO92" s="177"/>
      <c r="CP92" s="177"/>
      <c r="CQ92" s="177"/>
      <c r="CR92" s="177"/>
      <c r="CS92" s="177"/>
      <c r="CT92" s="177"/>
      <c r="CU92" s="177"/>
      <c r="CV92" s="172"/>
      <c r="CW92" s="172"/>
      <c r="CX92" s="172"/>
      <c r="CY92" s="172"/>
      <c r="CZ92" s="172"/>
      <c r="DA92" s="196"/>
      <c r="DC92" s="169"/>
      <c r="DD92" s="177"/>
      <c r="DE92" s="177"/>
      <c r="DF92" s="177"/>
      <c r="DG92" s="177"/>
      <c r="DH92" s="177"/>
      <c r="DI92" s="177"/>
      <c r="DJ92" s="177"/>
      <c r="DK92" s="177"/>
      <c r="DL92" s="177"/>
      <c r="DM92" s="177"/>
      <c r="DN92" s="177"/>
      <c r="DO92" s="177"/>
      <c r="DP92" s="177"/>
      <c r="DQ92" s="172"/>
      <c r="DR92" s="172"/>
      <c r="DS92" s="172"/>
      <c r="DT92" s="172"/>
      <c r="DU92" s="172"/>
      <c r="DV92" s="196"/>
    </row>
    <row r="93" spans="1:126" x14ac:dyDescent="0.2">
      <c r="A93" s="143" t="s">
        <v>456</v>
      </c>
      <c r="AJ93" s="133"/>
      <c r="AK93" s="133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33"/>
      <c r="CG93" s="179"/>
      <c r="CH93" s="197"/>
      <c r="CI93" s="180"/>
      <c r="CJ93" s="180"/>
      <c r="CK93" s="180"/>
      <c r="CL93" s="180"/>
      <c r="CM93" s="180"/>
      <c r="CN93" s="180"/>
      <c r="CO93" s="180"/>
      <c r="CP93" s="180"/>
      <c r="CQ93" s="180"/>
      <c r="CR93" s="180"/>
      <c r="CS93" s="180"/>
      <c r="CT93" s="180"/>
      <c r="CU93" s="180"/>
      <c r="CV93" s="173"/>
      <c r="CW93" s="173"/>
      <c r="CX93" s="173"/>
      <c r="CY93" s="173"/>
      <c r="CZ93" s="173"/>
      <c r="DA93" s="198"/>
      <c r="DC93" s="197"/>
      <c r="DD93" s="180"/>
      <c r="DE93" s="180"/>
      <c r="DF93" s="180"/>
      <c r="DG93" s="180"/>
      <c r="DH93" s="180"/>
      <c r="DI93" s="180"/>
      <c r="DJ93" s="180"/>
      <c r="DK93" s="180"/>
      <c r="DL93" s="180"/>
      <c r="DM93" s="180"/>
      <c r="DN93" s="180"/>
      <c r="DO93" s="180"/>
      <c r="DP93" s="180"/>
      <c r="DQ93" s="173"/>
      <c r="DR93" s="173"/>
      <c r="DS93" s="173"/>
      <c r="DT93" s="173"/>
      <c r="DU93" s="173"/>
      <c r="DV93" s="198"/>
    </row>
    <row r="94" spans="1:126" x14ac:dyDescent="0.2">
      <c r="A94" s="143" t="s">
        <v>457</v>
      </c>
      <c r="AJ94" s="133"/>
      <c r="AK94" s="133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33"/>
      <c r="CG94" s="179"/>
      <c r="CH94" s="197"/>
      <c r="CI94" s="180"/>
      <c r="CJ94" s="180"/>
      <c r="CK94" s="180"/>
      <c r="CL94" s="180"/>
      <c r="CM94" s="180"/>
      <c r="CN94" s="180"/>
      <c r="CO94" s="180"/>
      <c r="CP94" s="180"/>
      <c r="CQ94" s="180"/>
      <c r="CR94" s="180"/>
      <c r="CS94" s="180"/>
      <c r="CT94" s="180"/>
      <c r="CU94" s="180"/>
      <c r="CV94" s="173"/>
      <c r="CW94" s="173"/>
      <c r="CX94" s="173"/>
      <c r="CY94" s="173"/>
      <c r="CZ94" s="173"/>
      <c r="DA94" s="198"/>
      <c r="DC94" s="197"/>
      <c r="DD94" s="180"/>
      <c r="DE94" s="180"/>
      <c r="DF94" s="180"/>
      <c r="DG94" s="180"/>
      <c r="DH94" s="180"/>
      <c r="DI94" s="180"/>
      <c r="DJ94" s="180"/>
      <c r="DK94" s="180"/>
      <c r="DL94" s="180"/>
      <c r="DM94" s="180"/>
      <c r="DN94" s="180"/>
      <c r="DO94" s="180"/>
      <c r="DP94" s="180"/>
      <c r="DQ94" s="173"/>
      <c r="DR94" s="173"/>
      <c r="DS94" s="173"/>
      <c r="DT94" s="173"/>
      <c r="DU94" s="173"/>
      <c r="DV94" s="198"/>
    </row>
    <row r="95" spans="1:126" x14ac:dyDescent="0.2">
      <c r="A95" s="143" t="s">
        <v>458</v>
      </c>
      <c r="AJ95" s="133"/>
      <c r="AK95" s="133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33"/>
      <c r="CG95" s="179"/>
      <c r="CH95" s="197"/>
      <c r="CI95" s="180"/>
      <c r="CJ95" s="180"/>
      <c r="CK95" s="180"/>
      <c r="CL95" s="180"/>
      <c r="CM95" s="180"/>
      <c r="CN95" s="180"/>
      <c r="CO95" s="180"/>
      <c r="CP95" s="180"/>
      <c r="CQ95" s="180"/>
      <c r="CR95" s="180"/>
      <c r="CS95" s="180"/>
      <c r="CT95" s="180"/>
      <c r="CU95" s="180"/>
      <c r="CV95" s="173"/>
      <c r="CW95" s="173"/>
      <c r="CX95" s="173"/>
      <c r="CY95" s="173"/>
      <c r="CZ95" s="173"/>
      <c r="DA95" s="198"/>
      <c r="DC95" s="197"/>
      <c r="DD95" s="180"/>
      <c r="DE95" s="180"/>
      <c r="DF95" s="180"/>
      <c r="DG95" s="180"/>
      <c r="DH95" s="180"/>
      <c r="DI95" s="180"/>
      <c r="DJ95" s="180"/>
      <c r="DK95" s="180"/>
      <c r="DL95" s="180"/>
      <c r="DM95" s="180"/>
      <c r="DN95" s="180"/>
      <c r="DO95" s="180"/>
      <c r="DP95" s="180"/>
      <c r="DQ95" s="173"/>
      <c r="DR95" s="173"/>
      <c r="DS95" s="173"/>
      <c r="DT95" s="173"/>
      <c r="DU95" s="173"/>
      <c r="DV95" s="198"/>
    </row>
    <row r="96" spans="1:126" x14ac:dyDescent="0.2">
      <c r="A96" s="143" t="s">
        <v>459</v>
      </c>
      <c r="AJ96" s="133"/>
      <c r="AK96" s="133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33"/>
      <c r="CG96" s="179"/>
      <c r="CH96" s="197"/>
      <c r="CI96" s="180"/>
      <c r="CJ96" s="180"/>
      <c r="CK96" s="180"/>
      <c r="CL96" s="180"/>
      <c r="CM96" s="180"/>
      <c r="CN96" s="180"/>
      <c r="CO96" s="180"/>
      <c r="CP96" s="180"/>
      <c r="CQ96" s="180"/>
      <c r="CR96" s="180"/>
      <c r="CS96" s="180"/>
      <c r="CT96" s="180"/>
      <c r="CU96" s="180"/>
      <c r="CV96" s="173"/>
      <c r="CW96" s="173"/>
      <c r="CX96" s="173"/>
      <c r="CY96" s="173"/>
      <c r="CZ96" s="173"/>
      <c r="DA96" s="198"/>
      <c r="DC96" s="197"/>
      <c r="DD96" s="180"/>
      <c r="DE96" s="180"/>
      <c r="DF96" s="180"/>
      <c r="DG96" s="180"/>
      <c r="DH96" s="180"/>
      <c r="DI96" s="180"/>
      <c r="DJ96" s="180"/>
      <c r="DK96" s="180"/>
      <c r="DL96" s="180"/>
      <c r="DM96" s="180"/>
      <c r="DN96" s="180"/>
      <c r="DO96" s="180"/>
      <c r="DP96" s="180"/>
      <c r="DQ96" s="173"/>
      <c r="DR96" s="173"/>
      <c r="DS96" s="173"/>
      <c r="DT96" s="173"/>
      <c r="DU96" s="173"/>
      <c r="DV96" s="198"/>
    </row>
    <row r="97" spans="1:126" x14ac:dyDescent="0.2">
      <c r="A97" s="144" t="s">
        <v>460</v>
      </c>
      <c r="AJ97" s="133"/>
      <c r="AK97" s="133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33"/>
      <c r="CG97" s="179"/>
      <c r="CH97" s="197"/>
      <c r="CI97" s="180"/>
      <c r="CJ97" s="180"/>
      <c r="CK97" s="180"/>
      <c r="CL97" s="180"/>
      <c r="CM97" s="180"/>
      <c r="CN97" s="180"/>
      <c r="CO97" s="180"/>
      <c r="CP97" s="180"/>
      <c r="CQ97" s="180"/>
      <c r="CR97" s="180"/>
      <c r="CS97" s="180"/>
      <c r="CT97" s="180"/>
      <c r="CU97" s="180"/>
      <c r="CV97" s="173"/>
      <c r="CW97" s="173"/>
      <c r="CX97" s="173"/>
      <c r="CY97" s="173"/>
      <c r="CZ97" s="173"/>
      <c r="DA97" s="198"/>
      <c r="DC97" s="197"/>
      <c r="DD97" s="180"/>
      <c r="DE97" s="180"/>
      <c r="DF97" s="180"/>
      <c r="DG97" s="180"/>
      <c r="DH97" s="180"/>
      <c r="DI97" s="180"/>
      <c r="DJ97" s="180"/>
      <c r="DK97" s="180"/>
      <c r="DL97" s="180"/>
      <c r="DM97" s="180"/>
      <c r="DN97" s="180"/>
      <c r="DO97" s="180"/>
      <c r="DP97" s="180"/>
      <c r="DQ97" s="173"/>
      <c r="DR97" s="173"/>
      <c r="DS97" s="173"/>
      <c r="DT97" s="173"/>
      <c r="DU97" s="173"/>
      <c r="DV97" s="198"/>
    </row>
    <row r="98" spans="1:126" x14ac:dyDescent="0.2">
      <c r="A98" s="142" t="s">
        <v>461</v>
      </c>
      <c r="AJ98" s="133"/>
      <c r="AK98" s="133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33"/>
      <c r="CG98" s="176"/>
      <c r="CH98" s="197"/>
      <c r="CI98" s="180"/>
      <c r="CJ98" s="180"/>
      <c r="CK98" s="180"/>
      <c r="CL98" s="180"/>
      <c r="CM98" s="180"/>
      <c r="CN98" s="180"/>
      <c r="CO98" s="180"/>
      <c r="CP98" s="180"/>
      <c r="CQ98" s="180"/>
      <c r="CR98" s="180"/>
      <c r="CS98" s="180"/>
      <c r="CT98" s="180"/>
      <c r="CU98" s="180"/>
      <c r="CV98" s="173"/>
      <c r="CW98" s="173"/>
      <c r="CX98" s="173"/>
      <c r="CY98" s="173"/>
      <c r="CZ98" s="173"/>
      <c r="DA98" s="198"/>
      <c r="DC98" s="197"/>
      <c r="DD98" s="180"/>
      <c r="DE98" s="180"/>
      <c r="DF98" s="180"/>
      <c r="DG98" s="180"/>
      <c r="DH98" s="180"/>
      <c r="DI98" s="180"/>
      <c r="DJ98" s="180"/>
      <c r="DK98" s="180"/>
      <c r="DL98" s="180"/>
      <c r="DM98" s="180"/>
      <c r="DN98" s="180"/>
      <c r="DO98" s="180"/>
      <c r="DP98" s="180"/>
      <c r="DQ98" s="173"/>
      <c r="DR98" s="173"/>
      <c r="DS98" s="173"/>
      <c r="DT98" s="173"/>
      <c r="DU98" s="173"/>
      <c r="DV98" s="198"/>
    </row>
    <row r="99" spans="1:126" x14ac:dyDescent="0.2">
      <c r="A99" s="143" t="s">
        <v>462</v>
      </c>
      <c r="AJ99" s="133"/>
      <c r="AK99" s="133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33"/>
      <c r="CG99" s="176"/>
      <c r="CH99" s="197"/>
      <c r="CI99" s="180"/>
      <c r="CJ99" s="180"/>
      <c r="CK99" s="180"/>
      <c r="CL99" s="180"/>
      <c r="CM99" s="180"/>
      <c r="CN99" s="180"/>
      <c r="CO99" s="180"/>
      <c r="CP99" s="180"/>
      <c r="CQ99" s="180"/>
      <c r="CR99" s="180"/>
      <c r="CS99" s="180"/>
      <c r="CT99" s="180"/>
      <c r="CU99" s="180"/>
      <c r="CV99" s="173"/>
      <c r="CW99" s="173"/>
      <c r="CX99" s="173"/>
      <c r="CY99" s="173"/>
      <c r="CZ99" s="173"/>
      <c r="DA99" s="198"/>
      <c r="DC99" s="197"/>
      <c r="DD99" s="180"/>
      <c r="DE99" s="180"/>
      <c r="DF99" s="180"/>
      <c r="DG99" s="180"/>
      <c r="DH99" s="180"/>
      <c r="DI99" s="180"/>
      <c r="DJ99" s="180"/>
      <c r="DK99" s="180"/>
      <c r="DL99" s="180"/>
      <c r="DM99" s="180"/>
      <c r="DN99" s="180"/>
      <c r="DO99" s="180"/>
      <c r="DP99" s="180"/>
      <c r="DQ99" s="173"/>
      <c r="DR99" s="173"/>
      <c r="DS99" s="173"/>
      <c r="DT99" s="173"/>
      <c r="DU99" s="173"/>
      <c r="DV99" s="198"/>
    </row>
    <row r="100" spans="1:126" x14ac:dyDescent="0.2">
      <c r="A100" s="143" t="s">
        <v>463</v>
      </c>
      <c r="AJ100" s="133"/>
      <c r="AK100" s="133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33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33"/>
      <c r="CG100" s="176"/>
      <c r="CH100" s="199"/>
      <c r="CI100" s="200"/>
      <c r="CJ100" s="200"/>
      <c r="CK100" s="200"/>
      <c r="CL100" s="200"/>
      <c r="CM100" s="200"/>
      <c r="CN100" s="200"/>
      <c r="CO100" s="200"/>
      <c r="CP100" s="200"/>
      <c r="CQ100" s="201"/>
      <c r="CR100" s="202"/>
      <c r="CS100" s="200"/>
      <c r="CT100" s="200"/>
      <c r="CU100" s="200"/>
      <c r="CV100" s="203"/>
      <c r="CW100" s="203"/>
      <c r="CX100" s="203"/>
      <c r="CY100" s="203"/>
      <c r="CZ100" s="203"/>
      <c r="DA100" s="204"/>
      <c r="DC100" s="199"/>
      <c r="DD100" s="200"/>
      <c r="DE100" s="200"/>
      <c r="DF100" s="200"/>
      <c r="DG100" s="200"/>
      <c r="DH100" s="200"/>
      <c r="DI100" s="200"/>
      <c r="DJ100" s="200"/>
      <c r="DK100" s="200"/>
      <c r="DL100" s="200"/>
      <c r="DM100" s="200"/>
      <c r="DN100" s="200"/>
      <c r="DO100" s="200"/>
      <c r="DP100" s="200"/>
      <c r="DQ100" s="203"/>
      <c r="DR100" s="203"/>
      <c r="DS100" s="203"/>
      <c r="DT100" s="203"/>
      <c r="DU100" s="203"/>
      <c r="DV100" s="204"/>
    </row>
    <row r="101" spans="1:126" x14ac:dyDescent="0.2">
      <c r="A101" s="143" t="s">
        <v>464</v>
      </c>
      <c r="AJ101" s="133"/>
      <c r="AK101" s="133"/>
      <c r="AL101" s="183"/>
      <c r="AM101" s="183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3"/>
      <c r="AX101" s="183"/>
      <c r="AY101" s="183"/>
      <c r="AZ101" s="183"/>
      <c r="BA101" s="183"/>
      <c r="BB101" s="183"/>
      <c r="BC101" s="183"/>
      <c r="BD101" s="183"/>
      <c r="BE101" s="183"/>
      <c r="BF101" s="133"/>
      <c r="CG101" s="176">
        <v>6</v>
      </c>
      <c r="CH101" s="192"/>
      <c r="CI101" s="193"/>
      <c r="CJ101" s="193"/>
      <c r="CK101" s="193"/>
      <c r="CL101" s="193"/>
      <c r="CM101" s="193"/>
      <c r="CN101" s="193"/>
      <c r="CO101" s="193"/>
      <c r="CP101" s="193"/>
      <c r="CQ101" s="193"/>
      <c r="CR101" s="193"/>
      <c r="CS101" s="193"/>
      <c r="CT101" s="193"/>
      <c r="CU101" s="193"/>
      <c r="CV101" s="194"/>
      <c r="CW101" s="194"/>
      <c r="CX101" s="194"/>
      <c r="CY101" s="194"/>
      <c r="CZ101" s="194"/>
      <c r="DA101" s="195"/>
      <c r="DC101" s="192"/>
      <c r="DD101" s="193"/>
      <c r="DE101" s="193"/>
      <c r="DF101" s="193"/>
      <c r="DG101" s="193"/>
      <c r="DH101" s="193"/>
      <c r="DI101" s="193"/>
      <c r="DJ101" s="193"/>
      <c r="DK101" s="193"/>
      <c r="DL101" s="193"/>
      <c r="DM101" s="193"/>
      <c r="DN101" s="193"/>
      <c r="DO101" s="193"/>
      <c r="DP101" s="193"/>
      <c r="DQ101" s="194"/>
      <c r="DR101" s="194"/>
      <c r="DS101" s="194"/>
      <c r="DT101" s="194"/>
      <c r="DU101" s="194"/>
      <c r="DV101" s="195"/>
    </row>
    <row r="102" spans="1:126" x14ac:dyDescent="0.2">
      <c r="A102" s="143" t="s">
        <v>465</v>
      </c>
      <c r="AJ102" s="133"/>
      <c r="AK102" s="133"/>
      <c r="AL102" s="183"/>
      <c r="AM102" s="183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3"/>
      <c r="AX102" s="183"/>
      <c r="AY102" s="183"/>
      <c r="AZ102" s="183"/>
      <c r="BA102" s="183"/>
      <c r="BB102" s="183"/>
      <c r="BC102" s="183"/>
      <c r="BD102" s="183"/>
      <c r="BE102" s="183"/>
      <c r="BF102" s="133"/>
      <c r="CG102" s="176"/>
      <c r="CH102" s="169"/>
      <c r="CI102" s="177"/>
      <c r="CJ102" s="177"/>
      <c r="CK102" s="177"/>
      <c r="CL102" s="177"/>
      <c r="CM102" s="177"/>
      <c r="CN102" s="177"/>
      <c r="CO102" s="177"/>
      <c r="CP102" s="177"/>
      <c r="CQ102" s="177"/>
      <c r="CR102" s="177"/>
      <c r="CS102" s="177"/>
      <c r="CT102" s="177"/>
      <c r="CU102" s="177"/>
      <c r="CV102" s="172"/>
      <c r="CW102" s="172"/>
      <c r="CX102" s="172"/>
      <c r="CY102" s="172"/>
      <c r="CZ102" s="172"/>
      <c r="DA102" s="196"/>
      <c r="DC102" s="169"/>
      <c r="DD102" s="177"/>
      <c r="DE102" s="177"/>
      <c r="DF102" s="177"/>
      <c r="DG102" s="177"/>
      <c r="DH102" s="177"/>
      <c r="DI102" s="177"/>
      <c r="DJ102" s="177"/>
      <c r="DK102" s="177"/>
      <c r="DL102" s="177"/>
      <c r="DM102" s="177"/>
      <c r="DN102" s="177"/>
      <c r="DO102" s="177"/>
      <c r="DP102" s="177"/>
      <c r="DQ102" s="172"/>
      <c r="DR102" s="172"/>
      <c r="DS102" s="172"/>
      <c r="DT102" s="172"/>
      <c r="DU102" s="172"/>
      <c r="DV102" s="196"/>
    </row>
    <row r="103" spans="1:126" x14ac:dyDescent="0.2">
      <c r="A103" s="143" t="s">
        <v>466</v>
      </c>
      <c r="AJ103" s="133"/>
      <c r="AK103" s="133"/>
      <c r="AL103" s="183"/>
      <c r="AM103" s="183"/>
      <c r="AN103" s="183"/>
      <c r="AO103" s="183"/>
      <c r="AP103" s="183"/>
      <c r="AQ103" s="183"/>
      <c r="AR103" s="183"/>
      <c r="AS103" s="183"/>
      <c r="AT103" s="183"/>
      <c r="AU103" s="183"/>
      <c r="AV103" s="183"/>
      <c r="AW103" s="183"/>
      <c r="AX103" s="183"/>
      <c r="AY103" s="183"/>
      <c r="AZ103" s="183"/>
      <c r="BA103" s="183"/>
      <c r="BB103" s="183"/>
      <c r="BC103" s="183"/>
      <c r="BD103" s="183"/>
      <c r="BE103" s="183"/>
      <c r="BF103" s="133"/>
      <c r="CG103" s="131"/>
      <c r="CH103" s="169"/>
      <c r="CI103" s="177"/>
      <c r="CJ103" s="177"/>
      <c r="CK103" s="177"/>
      <c r="CL103" s="177"/>
      <c r="CM103" s="177"/>
      <c r="CN103" s="177"/>
      <c r="CO103" s="177"/>
      <c r="CP103" s="177"/>
      <c r="CQ103" s="177"/>
      <c r="CR103" s="177"/>
      <c r="CS103" s="177"/>
      <c r="CT103" s="177"/>
      <c r="CU103" s="177"/>
      <c r="CV103" s="172"/>
      <c r="CW103" s="172"/>
      <c r="CX103" s="172"/>
      <c r="CY103" s="172"/>
      <c r="CZ103" s="172"/>
      <c r="DA103" s="196"/>
      <c r="DC103" s="169"/>
      <c r="DD103" s="177"/>
      <c r="DE103" s="177"/>
      <c r="DF103" s="177"/>
      <c r="DG103" s="177"/>
      <c r="DH103" s="177"/>
      <c r="DI103" s="177"/>
      <c r="DJ103" s="177"/>
      <c r="DK103" s="177"/>
      <c r="DL103" s="177"/>
      <c r="DM103" s="177"/>
      <c r="DN103" s="177"/>
      <c r="DO103" s="177"/>
      <c r="DP103" s="177"/>
      <c r="DQ103" s="172"/>
      <c r="DR103" s="172"/>
      <c r="DS103" s="172"/>
      <c r="DT103" s="172"/>
      <c r="DU103" s="172"/>
      <c r="DV103" s="196"/>
    </row>
    <row r="104" spans="1:126" x14ac:dyDescent="0.2">
      <c r="A104" s="143" t="s">
        <v>467</v>
      </c>
      <c r="AJ104" s="133"/>
      <c r="AK104" s="133"/>
      <c r="AL104" s="183"/>
      <c r="AM104" s="183"/>
      <c r="AN104" s="183"/>
      <c r="AO104" s="183"/>
      <c r="AP104" s="183"/>
      <c r="AQ104" s="183"/>
      <c r="AR104" s="183"/>
      <c r="AS104" s="183"/>
      <c r="AT104" s="183"/>
      <c r="AU104" s="183"/>
      <c r="AV104" s="183"/>
      <c r="AW104" s="183"/>
      <c r="AX104" s="183"/>
      <c r="AY104" s="183"/>
      <c r="AZ104" s="183"/>
      <c r="BA104" s="183"/>
      <c r="BB104" s="183"/>
      <c r="BC104" s="183"/>
      <c r="BD104" s="183"/>
      <c r="BE104" s="183"/>
      <c r="BF104" s="133"/>
      <c r="CG104" s="176"/>
      <c r="CH104" s="169"/>
      <c r="CI104" s="177"/>
      <c r="CJ104" s="177"/>
      <c r="CK104" s="177"/>
      <c r="CL104" s="177"/>
      <c r="CM104" s="177"/>
      <c r="CN104" s="177"/>
      <c r="CO104" s="177"/>
      <c r="CP104" s="177"/>
      <c r="CQ104" s="177"/>
      <c r="CR104" s="177"/>
      <c r="CS104" s="177"/>
      <c r="CT104" s="177"/>
      <c r="CU104" s="177"/>
      <c r="CV104" s="172"/>
      <c r="CW104" s="172"/>
      <c r="CX104" s="172"/>
      <c r="CY104" s="172"/>
      <c r="CZ104" s="172"/>
      <c r="DA104" s="196"/>
      <c r="DC104" s="169"/>
      <c r="DD104" s="177"/>
      <c r="DE104" s="177"/>
      <c r="DF104" s="177"/>
      <c r="DG104" s="177"/>
      <c r="DH104" s="177"/>
      <c r="DI104" s="177"/>
      <c r="DJ104" s="177"/>
      <c r="DK104" s="177"/>
      <c r="DL104" s="177"/>
      <c r="DM104" s="177"/>
      <c r="DN104" s="177"/>
      <c r="DO104" s="177"/>
      <c r="DP104" s="177"/>
      <c r="DQ104" s="172"/>
      <c r="DR104" s="172"/>
      <c r="DS104" s="172"/>
      <c r="DT104" s="172"/>
      <c r="DU104" s="172"/>
      <c r="DV104" s="196"/>
    </row>
    <row r="105" spans="1:126" x14ac:dyDescent="0.2">
      <c r="A105" s="143" t="s">
        <v>468</v>
      </c>
      <c r="AJ105" s="133"/>
      <c r="AK105" s="133"/>
      <c r="AL105" s="183"/>
      <c r="AM105" s="183"/>
      <c r="AN105" s="183"/>
      <c r="AO105" s="183"/>
      <c r="AP105" s="183"/>
      <c r="AQ105" s="183"/>
      <c r="AR105" s="183"/>
      <c r="AS105" s="183"/>
      <c r="AT105" s="183"/>
      <c r="AU105" s="183"/>
      <c r="AV105" s="183"/>
      <c r="AW105" s="183"/>
      <c r="AX105" s="183"/>
      <c r="AY105" s="183"/>
      <c r="AZ105" s="183"/>
      <c r="BA105" s="183"/>
      <c r="BB105" s="183"/>
      <c r="BC105" s="183"/>
      <c r="BD105" s="183"/>
      <c r="BE105" s="183"/>
      <c r="BF105" s="133"/>
      <c r="CG105" s="178"/>
      <c r="CH105" s="169"/>
      <c r="CI105" s="177"/>
      <c r="CJ105" s="177"/>
      <c r="CK105" s="177"/>
      <c r="CL105" s="177"/>
      <c r="CM105" s="177"/>
      <c r="CN105" s="177"/>
      <c r="CO105" s="177"/>
      <c r="CP105" s="177"/>
      <c r="CQ105" s="177"/>
      <c r="CR105" s="177"/>
      <c r="CS105" s="177"/>
      <c r="CT105" s="177"/>
      <c r="CU105" s="177"/>
      <c r="CV105" s="172"/>
      <c r="CW105" s="172"/>
      <c r="CX105" s="172"/>
      <c r="CY105" s="172"/>
      <c r="CZ105" s="172"/>
      <c r="DA105" s="196"/>
      <c r="DC105" s="169"/>
      <c r="DD105" s="177"/>
      <c r="DE105" s="177"/>
      <c r="DF105" s="177"/>
      <c r="DG105" s="177"/>
      <c r="DH105" s="177"/>
      <c r="DI105" s="177"/>
      <c r="DJ105" s="177"/>
      <c r="DK105" s="177"/>
      <c r="DL105" s="177"/>
      <c r="DM105" s="177"/>
      <c r="DN105" s="177"/>
      <c r="DO105" s="177"/>
      <c r="DP105" s="177"/>
      <c r="DQ105" s="172"/>
      <c r="DR105" s="172"/>
      <c r="DS105" s="172"/>
      <c r="DT105" s="172"/>
      <c r="DU105" s="172"/>
      <c r="DV105" s="196"/>
    </row>
    <row r="106" spans="1:126" x14ac:dyDescent="0.2">
      <c r="A106" s="143" t="s">
        <v>469</v>
      </c>
      <c r="AJ106" s="133"/>
      <c r="AK106" s="133"/>
      <c r="AL106" s="183"/>
      <c r="AM106" s="183"/>
      <c r="AN106" s="183"/>
      <c r="AO106" s="183"/>
      <c r="AP106" s="183"/>
      <c r="AQ106" s="183"/>
      <c r="AR106" s="183"/>
      <c r="AS106" s="183"/>
      <c r="AT106" s="183"/>
      <c r="AU106" s="183"/>
      <c r="AV106" s="183"/>
      <c r="AW106" s="183"/>
      <c r="AX106" s="183"/>
      <c r="AY106" s="183"/>
      <c r="AZ106" s="183"/>
      <c r="BA106" s="183"/>
      <c r="BB106" s="183"/>
      <c r="BC106" s="183"/>
      <c r="BD106" s="183"/>
      <c r="BE106" s="183"/>
      <c r="BF106" s="133"/>
      <c r="CG106" s="179"/>
      <c r="CH106" s="169"/>
      <c r="CI106" s="177"/>
      <c r="CJ106" s="177"/>
      <c r="CK106" s="177"/>
      <c r="CL106" s="177"/>
      <c r="CM106" s="177"/>
      <c r="CN106" s="177"/>
      <c r="CO106" s="177"/>
      <c r="CP106" s="177"/>
      <c r="CQ106" s="177"/>
      <c r="CR106" s="177"/>
      <c r="CS106" s="177"/>
      <c r="CT106" s="177"/>
      <c r="CU106" s="177"/>
      <c r="CV106" s="172"/>
      <c r="CW106" s="172"/>
      <c r="CX106" s="172"/>
      <c r="CY106" s="172"/>
      <c r="CZ106" s="172"/>
      <c r="DA106" s="196"/>
      <c r="DC106" s="169"/>
      <c r="DD106" s="177"/>
      <c r="DE106" s="177"/>
      <c r="DF106" s="177"/>
      <c r="DG106" s="177"/>
      <c r="DH106" s="177"/>
      <c r="DI106" s="177"/>
      <c r="DJ106" s="177"/>
      <c r="DK106" s="177"/>
      <c r="DL106" s="177"/>
      <c r="DM106" s="177"/>
      <c r="DN106" s="177"/>
      <c r="DO106" s="177"/>
      <c r="DP106" s="177"/>
      <c r="DQ106" s="172"/>
      <c r="DR106" s="172"/>
      <c r="DS106" s="172"/>
      <c r="DT106" s="172"/>
      <c r="DU106" s="172"/>
      <c r="DV106" s="196"/>
    </row>
    <row r="107" spans="1:126" x14ac:dyDescent="0.2">
      <c r="A107" s="143" t="s">
        <v>470</v>
      </c>
      <c r="AJ107" s="133"/>
      <c r="AK107" s="133"/>
      <c r="AL107" s="183"/>
      <c r="AM107" s="183"/>
      <c r="AN107" s="183"/>
      <c r="AO107" s="183"/>
      <c r="AP107" s="183"/>
      <c r="AQ107" s="183"/>
      <c r="AR107" s="183"/>
      <c r="AS107" s="183"/>
      <c r="AT107" s="183"/>
      <c r="AU107" s="183"/>
      <c r="AV107" s="183"/>
      <c r="AW107" s="183"/>
      <c r="AX107" s="183"/>
      <c r="AY107" s="183"/>
      <c r="AZ107" s="183"/>
      <c r="BA107" s="183"/>
      <c r="BB107" s="183"/>
      <c r="BC107" s="183"/>
      <c r="BD107" s="183"/>
      <c r="BE107" s="183"/>
      <c r="BF107" s="133"/>
      <c r="CG107" s="179"/>
      <c r="CH107" s="169"/>
      <c r="CI107" s="177"/>
      <c r="CJ107" s="177"/>
      <c r="CK107" s="177"/>
      <c r="CL107" s="177"/>
      <c r="CM107" s="177"/>
      <c r="CN107" s="177"/>
      <c r="CO107" s="177"/>
      <c r="CP107" s="177"/>
      <c r="CQ107" s="177"/>
      <c r="CR107" s="177"/>
      <c r="CS107" s="177"/>
      <c r="CT107" s="177"/>
      <c r="CU107" s="177"/>
      <c r="CV107" s="172"/>
      <c r="CW107" s="172"/>
      <c r="CX107" s="172"/>
      <c r="CY107" s="172"/>
      <c r="CZ107" s="172"/>
      <c r="DA107" s="196"/>
      <c r="DC107" s="169"/>
      <c r="DD107" s="177"/>
      <c r="DE107" s="177"/>
      <c r="DF107" s="177"/>
      <c r="DG107" s="177"/>
      <c r="DH107" s="177"/>
      <c r="DI107" s="177"/>
      <c r="DJ107" s="177"/>
      <c r="DK107" s="177"/>
      <c r="DL107" s="177"/>
      <c r="DM107" s="177"/>
      <c r="DN107" s="177"/>
      <c r="DO107" s="177"/>
      <c r="DP107" s="177"/>
      <c r="DQ107" s="172"/>
      <c r="DR107" s="172"/>
      <c r="DS107" s="172"/>
      <c r="DT107" s="172"/>
      <c r="DU107" s="172"/>
      <c r="DV107" s="196"/>
    </row>
    <row r="108" spans="1:126" x14ac:dyDescent="0.2">
      <c r="A108" s="143" t="s">
        <v>471</v>
      </c>
      <c r="AJ108" s="133"/>
      <c r="AK108" s="133"/>
      <c r="AL108" s="183"/>
      <c r="AM108" s="183"/>
      <c r="AN108" s="183"/>
      <c r="AO108" s="183"/>
      <c r="AP108" s="183"/>
      <c r="AQ108" s="183"/>
      <c r="AR108" s="183"/>
      <c r="AS108" s="183"/>
      <c r="AT108" s="183"/>
      <c r="AU108" s="183"/>
      <c r="AV108" s="183"/>
      <c r="AW108" s="183"/>
      <c r="AX108" s="183"/>
      <c r="AY108" s="183"/>
      <c r="AZ108" s="183"/>
      <c r="BA108" s="183"/>
      <c r="BB108" s="183"/>
      <c r="BC108" s="183"/>
      <c r="BD108" s="183"/>
      <c r="BE108" s="183"/>
      <c r="BF108" s="133"/>
      <c r="CG108" s="179"/>
      <c r="CH108" s="169"/>
      <c r="CI108" s="177"/>
      <c r="CJ108" s="177"/>
      <c r="CK108" s="177"/>
      <c r="CL108" s="177"/>
      <c r="CM108" s="177"/>
      <c r="CN108" s="177"/>
      <c r="CO108" s="177"/>
      <c r="CP108" s="177"/>
      <c r="CQ108" s="177"/>
      <c r="CR108" s="177"/>
      <c r="CS108" s="177"/>
      <c r="CT108" s="177"/>
      <c r="CU108" s="177"/>
      <c r="CV108" s="172"/>
      <c r="CW108" s="172"/>
      <c r="CX108" s="172"/>
      <c r="CY108" s="172"/>
      <c r="CZ108" s="172"/>
      <c r="DA108" s="196"/>
      <c r="DC108" s="169"/>
      <c r="DD108" s="177"/>
      <c r="DE108" s="177"/>
      <c r="DF108" s="177"/>
      <c r="DG108" s="177"/>
      <c r="DH108" s="177"/>
      <c r="DI108" s="177"/>
      <c r="DJ108" s="177"/>
      <c r="DK108" s="177"/>
      <c r="DL108" s="177"/>
      <c r="DM108" s="177"/>
      <c r="DN108" s="177"/>
      <c r="DO108" s="177"/>
      <c r="DP108" s="177"/>
      <c r="DQ108" s="172"/>
      <c r="DR108" s="172"/>
      <c r="DS108" s="172"/>
      <c r="DT108" s="172"/>
      <c r="DU108" s="172"/>
      <c r="DV108" s="196"/>
    </row>
    <row r="109" spans="1:126" x14ac:dyDescent="0.2">
      <c r="A109" s="143" t="s">
        <v>472</v>
      </c>
      <c r="AJ109" s="133"/>
      <c r="AK109" s="133"/>
      <c r="AL109" s="183"/>
      <c r="AM109" s="183"/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183"/>
      <c r="AZ109" s="183"/>
      <c r="BA109" s="183"/>
      <c r="BB109" s="183"/>
      <c r="BC109" s="183"/>
      <c r="BD109" s="183"/>
      <c r="BE109" s="183"/>
      <c r="BF109" s="133"/>
      <c r="CG109" s="179"/>
      <c r="CH109" s="169"/>
      <c r="CI109" s="177"/>
      <c r="CJ109" s="177"/>
      <c r="CK109" s="177"/>
      <c r="CL109" s="177"/>
      <c r="CM109" s="177"/>
      <c r="CN109" s="177"/>
      <c r="CO109" s="177"/>
      <c r="CP109" s="177"/>
      <c r="CQ109" s="177"/>
      <c r="CR109" s="177"/>
      <c r="CS109" s="177"/>
      <c r="CT109" s="177"/>
      <c r="CU109" s="177"/>
      <c r="CV109" s="172"/>
      <c r="CW109" s="172"/>
      <c r="CX109" s="172"/>
      <c r="CY109" s="172"/>
      <c r="CZ109" s="172"/>
      <c r="DA109" s="196"/>
      <c r="DC109" s="169"/>
      <c r="DD109" s="177"/>
      <c r="DE109" s="177"/>
      <c r="DF109" s="177"/>
      <c r="DG109" s="177"/>
      <c r="DH109" s="177"/>
      <c r="DI109" s="177"/>
      <c r="DJ109" s="177"/>
      <c r="DK109" s="177"/>
      <c r="DL109" s="177"/>
      <c r="DM109" s="177"/>
      <c r="DN109" s="177"/>
      <c r="DO109" s="177"/>
      <c r="DP109" s="177"/>
      <c r="DQ109" s="172"/>
      <c r="DR109" s="172"/>
      <c r="DS109" s="172"/>
      <c r="DT109" s="172"/>
      <c r="DU109" s="172"/>
      <c r="DV109" s="196"/>
    </row>
    <row r="110" spans="1:126" x14ac:dyDescent="0.2">
      <c r="A110" s="143" t="s">
        <v>473</v>
      </c>
      <c r="AJ110" s="133"/>
      <c r="AK110" s="133"/>
      <c r="AL110" s="183"/>
      <c r="AM110" s="183"/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183"/>
      <c r="AZ110" s="183"/>
      <c r="BA110" s="183"/>
      <c r="BB110" s="183"/>
      <c r="BC110" s="183"/>
      <c r="BD110" s="183"/>
      <c r="BE110" s="183"/>
      <c r="BF110" s="133"/>
      <c r="CG110" s="179"/>
      <c r="CH110" s="169"/>
      <c r="CI110" s="177"/>
      <c r="CJ110" s="177"/>
      <c r="CK110" s="177"/>
      <c r="CL110" s="177"/>
      <c r="CM110" s="177"/>
      <c r="CN110" s="177"/>
      <c r="CO110" s="177"/>
      <c r="CP110" s="177"/>
      <c r="CQ110" s="177"/>
      <c r="CR110" s="177"/>
      <c r="CS110" s="177"/>
      <c r="CT110" s="177"/>
      <c r="CU110" s="177"/>
      <c r="CV110" s="172"/>
      <c r="CW110" s="172"/>
      <c r="CX110" s="172"/>
      <c r="CY110" s="172"/>
      <c r="CZ110" s="172"/>
      <c r="DA110" s="196"/>
      <c r="DC110" s="169"/>
      <c r="DD110" s="177"/>
      <c r="DE110" s="177"/>
      <c r="DF110" s="177"/>
      <c r="DG110" s="177"/>
      <c r="DH110" s="177"/>
      <c r="DI110" s="177"/>
      <c r="DJ110" s="177"/>
      <c r="DK110" s="177"/>
      <c r="DL110" s="177"/>
      <c r="DM110" s="177"/>
      <c r="DN110" s="177"/>
      <c r="DO110" s="177"/>
      <c r="DP110" s="177"/>
      <c r="DQ110" s="172"/>
      <c r="DR110" s="172"/>
      <c r="DS110" s="172"/>
      <c r="DT110" s="172"/>
      <c r="DU110" s="172"/>
      <c r="DV110" s="196"/>
    </row>
    <row r="111" spans="1:126" x14ac:dyDescent="0.2">
      <c r="A111" s="143" t="s">
        <v>474</v>
      </c>
      <c r="AJ111" s="133"/>
      <c r="AK111" s="13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33"/>
      <c r="CG111" s="179"/>
      <c r="CH111" s="169"/>
      <c r="CI111" s="177"/>
      <c r="CJ111" s="177"/>
      <c r="CK111" s="177"/>
      <c r="CL111" s="177"/>
      <c r="CM111" s="177"/>
      <c r="CN111" s="177"/>
      <c r="CO111" s="177"/>
      <c r="CP111" s="177"/>
      <c r="CQ111" s="177"/>
      <c r="CR111" s="177"/>
      <c r="CS111" s="177"/>
      <c r="CT111" s="177"/>
      <c r="CU111" s="177"/>
      <c r="CV111" s="172"/>
      <c r="CW111" s="172"/>
      <c r="CX111" s="172"/>
      <c r="CY111" s="172"/>
      <c r="CZ111" s="172"/>
      <c r="DA111" s="196"/>
      <c r="DC111" s="169"/>
      <c r="DD111" s="177"/>
      <c r="DE111" s="177"/>
      <c r="DF111" s="177"/>
      <c r="DG111" s="177"/>
      <c r="DH111" s="177"/>
      <c r="DI111" s="177"/>
      <c r="DJ111" s="177"/>
      <c r="DK111" s="177"/>
      <c r="DL111" s="177"/>
      <c r="DM111" s="177"/>
      <c r="DN111" s="177"/>
      <c r="DO111" s="177"/>
      <c r="DP111" s="177"/>
      <c r="DQ111" s="172"/>
      <c r="DR111" s="172"/>
      <c r="DS111" s="172"/>
      <c r="DT111" s="172"/>
      <c r="DU111" s="172"/>
      <c r="DV111" s="196"/>
    </row>
    <row r="112" spans="1:126" x14ac:dyDescent="0.2">
      <c r="A112" s="143" t="s">
        <v>475</v>
      </c>
      <c r="AJ112" s="133"/>
      <c r="AK112" s="133"/>
      <c r="AL112" s="183"/>
      <c r="AM112" s="183"/>
      <c r="AN112" s="183"/>
      <c r="AO112" s="183"/>
      <c r="AP112" s="183"/>
      <c r="AQ112" s="183"/>
      <c r="AR112" s="183"/>
      <c r="AS112" s="183"/>
      <c r="AT112" s="183"/>
      <c r="AU112" s="183"/>
      <c r="AV112" s="183"/>
      <c r="AW112" s="183"/>
      <c r="AX112" s="183"/>
      <c r="AY112" s="183"/>
      <c r="AZ112" s="183"/>
      <c r="BA112" s="183"/>
      <c r="BB112" s="183"/>
      <c r="BC112" s="183"/>
      <c r="BD112" s="183"/>
      <c r="BE112" s="183"/>
      <c r="BF112" s="133"/>
      <c r="CG112" s="179"/>
      <c r="CH112" s="169"/>
      <c r="CI112" s="177"/>
      <c r="CJ112" s="177"/>
      <c r="CK112" s="177"/>
      <c r="CL112" s="177"/>
      <c r="CM112" s="177"/>
      <c r="CN112" s="177"/>
      <c r="CO112" s="177"/>
      <c r="CP112" s="177"/>
      <c r="CQ112" s="177"/>
      <c r="CR112" s="177"/>
      <c r="CS112" s="177"/>
      <c r="CT112" s="177"/>
      <c r="CU112" s="177"/>
      <c r="CV112" s="172"/>
      <c r="CW112" s="172"/>
      <c r="CX112" s="172"/>
      <c r="CY112" s="172"/>
      <c r="CZ112" s="172"/>
      <c r="DA112" s="196"/>
      <c r="DC112" s="169"/>
      <c r="DD112" s="177"/>
      <c r="DE112" s="177"/>
      <c r="DF112" s="177"/>
      <c r="DG112" s="177"/>
      <c r="DH112" s="177"/>
      <c r="DI112" s="177"/>
      <c r="DJ112" s="177"/>
      <c r="DK112" s="177"/>
      <c r="DL112" s="177"/>
      <c r="DM112" s="177"/>
      <c r="DN112" s="177"/>
      <c r="DO112" s="177"/>
      <c r="DP112" s="177"/>
      <c r="DQ112" s="172"/>
      <c r="DR112" s="172"/>
      <c r="DS112" s="172"/>
      <c r="DT112" s="172"/>
      <c r="DU112" s="172"/>
      <c r="DV112" s="196"/>
    </row>
    <row r="113" spans="1:126" x14ac:dyDescent="0.2">
      <c r="A113" s="143" t="s">
        <v>476</v>
      </c>
      <c r="AJ113" s="133"/>
      <c r="AK113" s="133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33"/>
      <c r="CG113" s="179"/>
      <c r="CH113" s="197"/>
      <c r="CI113" s="180"/>
      <c r="CJ113" s="180"/>
      <c r="CK113" s="180"/>
      <c r="CL113" s="180"/>
      <c r="CM113" s="180"/>
      <c r="CN113" s="180"/>
      <c r="CO113" s="180"/>
      <c r="CP113" s="180"/>
      <c r="CQ113" s="180"/>
      <c r="CR113" s="180"/>
      <c r="CS113" s="180"/>
      <c r="CT113" s="180"/>
      <c r="CU113" s="180"/>
      <c r="CV113" s="173"/>
      <c r="CW113" s="173"/>
      <c r="CX113" s="173"/>
      <c r="CY113" s="173"/>
      <c r="CZ113" s="173"/>
      <c r="DA113" s="198"/>
      <c r="DC113" s="197"/>
      <c r="DD113" s="180"/>
      <c r="DE113" s="180"/>
      <c r="DF113" s="180"/>
      <c r="DG113" s="180"/>
      <c r="DH113" s="180"/>
      <c r="DI113" s="180"/>
      <c r="DJ113" s="180"/>
      <c r="DK113" s="180"/>
      <c r="DL113" s="180"/>
      <c r="DM113" s="180"/>
      <c r="DN113" s="180"/>
      <c r="DO113" s="180"/>
      <c r="DP113" s="180"/>
      <c r="DQ113" s="173"/>
      <c r="DR113" s="173"/>
      <c r="DS113" s="173"/>
      <c r="DT113" s="173"/>
      <c r="DU113" s="173"/>
      <c r="DV113" s="198"/>
    </row>
    <row r="114" spans="1:126" x14ac:dyDescent="0.2">
      <c r="A114" s="143" t="s">
        <v>477</v>
      </c>
      <c r="AJ114" s="133"/>
      <c r="AK114" s="133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33"/>
      <c r="CG114" s="179"/>
      <c r="CH114" s="197"/>
      <c r="CI114" s="180"/>
      <c r="CJ114" s="180"/>
      <c r="CK114" s="180"/>
      <c r="CL114" s="180"/>
      <c r="CM114" s="180"/>
      <c r="CN114" s="180"/>
      <c r="CO114" s="180"/>
      <c r="CP114" s="180"/>
      <c r="CQ114" s="180"/>
      <c r="CR114" s="180"/>
      <c r="CS114" s="180"/>
      <c r="CT114" s="180"/>
      <c r="CU114" s="180"/>
      <c r="CV114" s="173"/>
      <c r="CW114" s="173"/>
      <c r="CX114" s="173"/>
      <c r="CY114" s="173"/>
      <c r="CZ114" s="173"/>
      <c r="DA114" s="198"/>
      <c r="DC114" s="197"/>
      <c r="DD114" s="180"/>
      <c r="DE114" s="180"/>
      <c r="DF114" s="180"/>
      <c r="DG114" s="180"/>
      <c r="DH114" s="180"/>
      <c r="DI114" s="180"/>
      <c r="DJ114" s="180"/>
      <c r="DK114" s="180"/>
      <c r="DL114" s="180"/>
      <c r="DM114" s="180"/>
      <c r="DN114" s="180"/>
      <c r="DO114" s="180"/>
      <c r="DP114" s="180"/>
      <c r="DQ114" s="173"/>
      <c r="DR114" s="173"/>
      <c r="DS114" s="173"/>
      <c r="DT114" s="173"/>
      <c r="DU114" s="173"/>
      <c r="DV114" s="198"/>
    </row>
    <row r="115" spans="1:126" x14ac:dyDescent="0.2">
      <c r="A115" s="143" t="s">
        <v>478</v>
      </c>
      <c r="AJ115" s="133"/>
      <c r="AK115" s="133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33"/>
      <c r="CG115" s="179"/>
      <c r="CH115" s="197"/>
      <c r="CI115" s="180"/>
      <c r="CJ115" s="180"/>
      <c r="CK115" s="180"/>
      <c r="CL115" s="180"/>
      <c r="CM115" s="180"/>
      <c r="CN115" s="180"/>
      <c r="CO115" s="180"/>
      <c r="CP115" s="180"/>
      <c r="CQ115" s="180"/>
      <c r="CR115" s="180"/>
      <c r="CS115" s="180"/>
      <c r="CT115" s="180"/>
      <c r="CU115" s="180"/>
      <c r="CV115" s="173"/>
      <c r="CW115" s="173"/>
      <c r="CX115" s="173"/>
      <c r="CY115" s="173"/>
      <c r="CZ115" s="173"/>
      <c r="DA115" s="198"/>
      <c r="DC115" s="197"/>
      <c r="DD115" s="180"/>
      <c r="DE115" s="180"/>
      <c r="DF115" s="180"/>
      <c r="DG115" s="180"/>
      <c r="DH115" s="180"/>
      <c r="DI115" s="180"/>
      <c r="DJ115" s="180"/>
      <c r="DK115" s="180"/>
      <c r="DL115" s="180"/>
      <c r="DM115" s="180"/>
      <c r="DN115" s="180"/>
      <c r="DO115" s="180"/>
      <c r="DP115" s="180"/>
      <c r="DQ115" s="173"/>
      <c r="DR115" s="173"/>
      <c r="DS115" s="173"/>
      <c r="DT115" s="173"/>
      <c r="DU115" s="173"/>
      <c r="DV115" s="198"/>
    </row>
    <row r="116" spans="1:126" x14ac:dyDescent="0.2">
      <c r="A116" s="143" t="s">
        <v>479</v>
      </c>
      <c r="AJ116" s="133"/>
      <c r="AK116" s="133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33"/>
      <c r="CG116" s="179"/>
      <c r="CH116" s="197"/>
      <c r="CI116" s="180"/>
      <c r="CJ116" s="180"/>
      <c r="CK116" s="180"/>
      <c r="CL116" s="180"/>
      <c r="CM116" s="180"/>
      <c r="CN116" s="180"/>
      <c r="CO116" s="180"/>
      <c r="CP116" s="180"/>
      <c r="CQ116" s="180"/>
      <c r="CR116" s="180"/>
      <c r="CS116" s="180"/>
      <c r="CT116" s="180"/>
      <c r="CU116" s="180"/>
      <c r="CV116" s="173"/>
      <c r="CW116" s="173"/>
      <c r="CX116" s="173"/>
      <c r="CY116" s="173"/>
      <c r="CZ116" s="173"/>
      <c r="DA116" s="198"/>
      <c r="DC116" s="197"/>
      <c r="DD116" s="180"/>
      <c r="DE116" s="180"/>
      <c r="DF116" s="180"/>
      <c r="DG116" s="180"/>
      <c r="DH116" s="180"/>
      <c r="DI116" s="180"/>
      <c r="DJ116" s="180"/>
      <c r="DK116" s="180"/>
      <c r="DL116" s="180"/>
      <c r="DM116" s="180"/>
      <c r="DN116" s="180"/>
      <c r="DO116" s="180"/>
      <c r="DP116" s="180"/>
      <c r="DQ116" s="173"/>
      <c r="DR116" s="173"/>
      <c r="DS116" s="173"/>
      <c r="DT116" s="173"/>
      <c r="DU116" s="173"/>
      <c r="DV116" s="198"/>
    </row>
    <row r="117" spans="1:126" x14ac:dyDescent="0.2">
      <c r="A117" s="144" t="s">
        <v>480</v>
      </c>
      <c r="AJ117" s="133"/>
      <c r="AK117" s="133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33"/>
      <c r="CG117" s="179"/>
      <c r="CH117" s="197"/>
      <c r="CI117" s="180"/>
      <c r="CJ117" s="180"/>
      <c r="CK117" s="180"/>
      <c r="CL117" s="180"/>
      <c r="CM117" s="180"/>
      <c r="CN117" s="180"/>
      <c r="CO117" s="180"/>
      <c r="CP117" s="180"/>
      <c r="CQ117" s="180"/>
      <c r="CR117" s="180"/>
      <c r="CS117" s="180"/>
      <c r="CT117" s="180"/>
      <c r="CU117" s="180"/>
      <c r="CV117" s="173"/>
      <c r="CW117" s="173"/>
      <c r="CX117" s="173"/>
      <c r="CY117" s="173"/>
      <c r="CZ117" s="173"/>
      <c r="DA117" s="198"/>
      <c r="DC117" s="197"/>
      <c r="DD117" s="180"/>
      <c r="DE117" s="180"/>
      <c r="DF117" s="180"/>
      <c r="DG117" s="180"/>
      <c r="DH117" s="180"/>
      <c r="DI117" s="180"/>
      <c r="DJ117" s="180"/>
      <c r="DK117" s="180"/>
      <c r="DL117" s="180"/>
      <c r="DM117" s="180"/>
      <c r="DN117" s="180"/>
      <c r="DO117" s="180"/>
      <c r="DP117" s="180"/>
      <c r="DQ117" s="173"/>
      <c r="DR117" s="173"/>
      <c r="DS117" s="173"/>
      <c r="DT117" s="173"/>
      <c r="DU117" s="173"/>
      <c r="DV117" s="198"/>
    </row>
    <row r="118" spans="1:126" x14ac:dyDescent="0.2">
      <c r="A118" s="142" t="s">
        <v>481</v>
      </c>
      <c r="AJ118" s="133"/>
      <c r="AK118" s="133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33"/>
      <c r="CG118" s="176"/>
      <c r="CH118" s="197"/>
      <c r="CI118" s="180"/>
      <c r="CJ118" s="180"/>
      <c r="CK118" s="180"/>
      <c r="CL118" s="180"/>
      <c r="CM118" s="180"/>
      <c r="CN118" s="180"/>
      <c r="CO118" s="180"/>
      <c r="CP118" s="180"/>
      <c r="CQ118" s="180"/>
      <c r="CR118" s="180"/>
      <c r="CS118" s="180"/>
      <c r="CT118" s="180"/>
      <c r="CU118" s="180"/>
      <c r="CV118" s="173"/>
      <c r="CW118" s="173"/>
      <c r="CX118" s="173"/>
      <c r="CY118" s="173"/>
      <c r="CZ118" s="173"/>
      <c r="DA118" s="198"/>
      <c r="DC118" s="197"/>
      <c r="DD118" s="180"/>
      <c r="DE118" s="180"/>
      <c r="DF118" s="180"/>
      <c r="DG118" s="180"/>
      <c r="DH118" s="180"/>
      <c r="DI118" s="180"/>
      <c r="DJ118" s="180"/>
      <c r="DK118" s="180"/>
      <c r="DL118" s="180"/>
      <c r="DM118" s="180"/>
      <c r="DN118" s="180"/>
      <c r="DO118" s="180"/>
      <c r="DP118" s="180"/>
      <c r="DQ118" s="173"/>
      <c r="DR118" s="173"/>
      <c r="DS118" s="173"/>
      <c r="DT118" s="173"/>
      <c r="DU118" s="173"/>
      <c r="DV118" s="198"/>
    </row>
    <row r="119" spans="1:126" x14ac:dyDescent="0.2">
      <c r="A119" s="143" t="s">
        <v>482</v>
      </c>
      <c r="AJ119" s="133"/>
      <c r="AK119" s="133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33"/>
      <c r="CG119" s="176"/>
      <c r="CH119" s="197"/>
      <c r="CI119" s="180"/>
      <c r="CJ119" s="180"/>
      <c r="CK119" s="180"/>
      <c r="CL119" s="180"/>
      <c r="CM119" s="180"/>
      <c r="CN119" s="180"/>
      <c r="CO119" s="180"/>
      <c r="CP119" s="180"/>
      <c r="CQ119" s="180"/>
      <c r="CR119" s="180"/>
      <c r="CS119" s="180"/>
      <c r="CT119" s="180"/>
      <c r="CU119" s="180"/>
      <c r="CV119" s="173"/>
      <c r="CW119" s="173"/>
      <c r="CX119" s="173"/>
      <c r="CY119" s="173"/>
      <c r="CZ119" s="173"/>
      <c r="DA119" s="198"/>
      <c r="DC119" s="197"/>
      <c r="DD119" s="180"/>
      <c r="DE119" s="180"/>
      <c r="DF119" s="180"/>
      <c r="DG119" s="180"/>
      <c r="DH119" s="180"/>
      <c r="DI119" s="180"/>
      <c r="DJ119" s="180"/>
      <c r="DK119" s="180"/>
      <c r="DL119" s="180"/>
      <c r="DM119" s="180"/>
      <c r="DN119" s="180"/>
      <c r="DO119" s="180"/>
      <c r="DP119" s="180"/>
      <c r="DQ119" s="173"/>
      <c r="DR119" s="173"/>
      <c r="DS119" s="173"/>
      <c r="DT119" s="173"/>
      <c r="DU119" s="173"/>
      <c r="DV119" s="198"/>
    </row>
    <row r="120" spans="1:126" x14ac:dyDescent="0.2">
      <c r="A120" s="143" t="s">
        <v>483</v>
      </c>
      <c r="AJ120" s="133"/>
      <c r="AK120" s="133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33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33"/>
      <c r="CG120" s="176"/>
      <c r="CH120" s="199"/>
      <c r="CI120" s="200"/>
      <c r="CJ120" s="200"/>
      <c r="CK120" s="200"/>
      <c r="CL120" s="200"/>
      <c r="CM120" s="200"/>
      <c r="CN120" s="200"/>
      <c r="CO120" s="200"/>
      <c r="CP120" s="200"/>
      <c r="CQ120" s="201"/>
      <c r="CR120" s="202"/>
      <c r="CS120" s="200"/>
      <c r="CT120" s="200"/>
      <c r="CU120" s="200"/>
      <c r="CV120" s="203"/>
      <c r="CW120" s="203"/>
      <c r="CX120" s="203"/>
      <c r="CY120" s="203"/>
      <c r="CZ120" s="203"/>
      <c r="DA120" s="204"/>
      <c r="DC120" s="199"/>
      <c r="DD120" s="200"/>
      <c r="DE120" s="200"/>
      <c r="DF120" s="200"/>
      <c r="DG120" s="200"/>
      <c r="DH120" s="200"/>
      <c r="DI120" s="200"/>
      <c r="DJ120" s="200"/>
      <c r="DK120" s="200"/>
      <c r="DL120" s="200"/>
      <c r="DM120" s="200"/>
      <c r="DN120" s="200"/>
      <c r="DO120" s="200"/>
      <c r="DP120" s="200"/>
      <c r="DQ120" s="203"/>
      <c r="DR120" s="203"/>
      <c r="DS120" s="203"/>
      <c r="DT120" s="203"/>
      <c r="DU120" s="203"/>
      <c r="DV120" s="204"/>
    </row>
    <row r="121" spans="1:126" x14ac:dyDescent="0.2">
      <c r="A121" s="143" t="s">
        <v>484</v>
      </c>
      <c r="AJ121" s="133"/>
      <c r="AK121" s="133"/>
      <c r="AL121" s="183"/>
      <c r="AM121" s="183"/>
      <c r="AN121" s="183"/>
      <c r="AO121" s="183"/>
      <c r="AP121" s="183"/>
      <c r="AQ121" s="183"/>
      <c r="AR121" s="183"/>
      <c r="AS121" s="183"/>
      <c r="AT121" s="183"/>
      <c r="AU121" s="183"/>
      <c r="AV121" s="183"/>
      <c r="AW121" s="183"/>
      <c r="AX121" s="183"/>
      <c r="AY121" s="183"/>
      <c r="AZ121" s="183"/>
      <c r="BA121" s="183"/>
      <c r="BB121" s="183"/>
      <c r="BC121" s="183"/>
      <c r="BD121" s="183"/>
      <c r="BE121" s="183"/>
      <c r="BF121" s="133"/>
      <c r="CG121" s="176">
        <v>7</v>
      </c>
      <c r="CH121" s="192"/>
      <c r="CI121" s="193"/>
      <c r="CJ121" s="193"/>
      <c r="CK121" s="193"/>
      <c r="CL121" s="193"/>
      <c r="CM121" s="193"/>
      <c r="CN121" s="193"/>
      <c r="CO121" s="193"/>
      <c r="CP121" s="193"/>
      <c r="CQ121" s="193"/>
      <c r="CR121" s="193"/>
      <c r="CS121" s="193"/>
      <c r="CT121" s="193"/>
      <c r="CU121" s="193"/>
      <c r="CV121" s="194"/>
      <c r="CW121" s="194"/>
      <c r="CX121" s="194"/>
      <c r="CY121" s="194"/>
      <c r="CZ121" s="194"/>
      <c r="DA121" s="195"/>
      <c r="DC121" s="192"/>
      <c r="DD121" s="193"/>
      <c r="DE121" s="193"/>
      <c r="DF121" s="193"/>
      <c r="DG121" s="193"/>
      <c r="DH121" s="193"/>
      <c r="DI121" s="193"/>
      <c r="DJ121" s="193"/>
      <c r="DK121" s="193"/>
      <c r="DL121" s="193"/>
      <c r="DM121" s="193"/>
      <c r="DN121" s="193"/>
      <c r="DO121" s="193"/>
      <c r="DP121" s="193"/>
      <c r="DQ121" s="194"/>
      <c r="DR121" s="194"/>
      <c r="DS121" s="194"/>
      <c r="DT121" s="194"/>
      <c r="DU121" s="194"/>
      <c r="DV121" s="195"/>
    </row>
    <row r="122" spans="1:126" x14ac:dyDescent="0.2">
      <c r="A122" s="143" t="s">
        <v>485</v>
      </c>
      <c r="AJ122" s="133"/>
      <c r="AK122" s="133"/>
      <c r="AL122" s="183"/>
      <c r="AM122" s="183"/>
      <c r="AN122" s="183"/>
      <c r="AO122" s="183"/>
      <c r="AP122" s="183"/>
      <c r="AQ122" s="183"/>
      <c r="AR122" s="183"/>
      <c r="AS122" s="183"/>
      <c r="AT122" s="183"/>
      <c r="AU122" s="183"/>
      <c r="AV122" s="183"/>
      <c r="AW122" s="183"/>
      <c r="AX122" s="183"/>
      <c r="AY122" s="183"/>
      <c r="AZ122" s="183"/>
      <c r="BA122" s="183"/>
      <c r="BB122" s="183"/>
      <c r="BC122" s="183"/>
      <c r="BD122" s="183"/>
      <c r="BE122" s="183"/>
      <c r="BF122" s="133"/>
      <c r="CG122" s="176"/>
      <c r="CH122" s="169"/>
      <c r="CI122" s="177"/>
      <c r="CJ122" s="177"/>
      <c r="CK122" s="177"/>
      <c r="CL122" s="177"/>
      <c r="CM122" s="177"/>
      <c r="CN122" s="177"/>
      <c r="CO122" s="177"/>
      <c r="CP122" s="177"/>
      <c r="CQ122" s="177"/>
      <c r="CR122" s="177"/>
      <c r="CS122" s="177"/>
      <c r="CT122" s="177"/>
      <c r="CU122" s="177"/>
      <c r="CV122" s="172"/>
      <c r="CW122" s="172"/>
      <c r="CX122" s="172"/>
      <c r="CY122" s="172"/>
      <c r="CZ122" s="172"/>
      <c r="DA122" s="196"/>
      <c r="DC122" s="169"/>
      <c r="DD122" s="177"/>
      <c r="DE122" s="177"/>
      <c r="DF122" s="177"/>
      <c r="DG122" s="177"/>
      <c r="DH122" s="177"/>
      <c r="DI122" s="177"/>
      <c r="DJ122" s="177"/>
      <c r="DK122" s="177"/>
      <c r="DL122" s="177"/>
      <c r="DM122" s="177"/>
      <c r="DN122" s="177"/>
      <c r="DO122" s="177"/>
      <c r="DP122" s="177"/>
      <c r="DQ122" s="172"/>
      <c r="DR122" s="172"/>
      <c r="DS122" s="172"/>
      <c r="DT122" s="172"/>
      <c r="DU122" s="172"/>
      <c r="DV122" s="196"/>
    </row>
    <row r="123" spans="1:126" x14ac:dyDescent="0.2">
      <c r="A123" s="143" t="s">
        <v>486</v>
      </c>
      <c r="AJ123" s="133"/>
      <c r="AK123" s="133"/>
      <c r="AL123" s="183"/>
      <c r="AM123" s="183"/>
      <c r="AN123" s="183"/>
      <c r="AO123" s="183"/>
      <c r="AP123" s="183"/>
      <c r="AQ123" s="183"/>
      <c r="AR123" s="183"/>
      <c r="AS123" s="183"/>
      <c r="AT123" s="183"/>
      <c r="AU123" s="183"/>
      <c r="AV123" s="183"/>
      <c r="AW123" s="183"/>
      <c r="AX123" s="183"/>
      <c r="AY123" s="183"/>
      <c r="AZ123" s="183"/>
      <c r="BA123" s="183"/>
      <c r="BB123" s="183"/>
      <c r="BC123" s="183"/>
      <c r="BD123" s="183"/>
      <c r="BE123" s="183"/>
      <c r="BF123" s="133"/>
      <c r="CG123" s="131"/>
      <c r="CH123" s="169"/>
      <c r="CI123" s="177"/>
      <c r="CJ123" s="177"/>
      <c r="CK123" s="177"/>
      <c r="CL123" s="177"/>
      <c r="CM123" s="177"/>
      <c r="CN123" s="177"/>
      <c r="CO123" s="177"/>
      <c r="CP123" s="177"/>
      <c r="CQ123" s="177"/>
      <c r="CR123" s="177"/>
      <c r="CS123" s="177"/>
      <c r="CT123" s="177"/>
      <c r="CU123" s="177"/>
      <c r="CV123" s="172"/>
      <c r="CW123" s="172"/>
      <c r="CX123" s="172"/>
      <c r="CY123" s="172"/>
      <c r="CZ123" s="172"/>
      <c r="DA123" s="196"/>
      <c r="DC123" s="169"/>
      <c r="DD123" s="177"/>
      <c r="DE123" s="177"/>
      <c r="DF123" s="177"/>
      <c r="DG123" s="177"/>
      <c r="DH123" s="177"/>
      <c r="DI123" s="177"/>
      <c r="DJ123" s="177"/>
      <c r="DK123" s="177"/>
      <c r="DL123" s="177"/>
      <c r="DM123" s="177"/>
      <c r="DN123" s="177"/>
      <c r="DO123" s="177"/>
      <c r="DP123" s="177"/>
      <c r="DQ123" s="172"/>
      <c r="DR123" s="172"/>
      <c r="DS123" s="172"/>
      <c r="DT123" s="172"/>
      <c r="DU123" s="172"/>
      <c r="DV123" s="196"/>
    </row>
    <row r="124" spans="1:126" x14ac:dyDescent="0.2">
      <c r="A124" s="143" t="s">
        <v>487</v>
      </c>
      <c r="AJ124" s="133"/>
      <c r="AK124" s="133"/>
      <c r="AL124" s="183"/>
      <c r="AM124" s="183"/>
      <c r="AN124" s="183"/>
      <c r="AO124" s="183"/>
      <c r="AP124" s="183"/>
      <c r="AQ124" s="183"/>
      <c r="AR124" s="183"/>
      <c r="AS124" s="183"/>
      <c r="AT124" s="183"/>
      <c r="AU124" s="183"/>
      <c r="AV124" s="183"/>
      <c r="AW124" s="183"/>
      <c r="AX124" s="183"/>
      <c r="AY124" s="183"/>
      <c r="AZ124" s="183"/>
      <c r="BA124" s="183"/>
      <c r="BB124" s="183"/>
      <c r="BC124" s="183"/>
      <c r="BD124" s="183"/>
      <c r="BE124" s="183"/>
      <c r="BF124" s="133"/>
      <c r="CG124" s="176"/>
      <c r="CH124" s="169"/>
      <c r="CI124" s="177"/>
      <c r="CJ124" s="177"/>
      <c r="CK124" s="177"/>
      <c r="CL124" s="177"/>
      <c r="CM124" s="177"/>
      <c r="CN124" s="177"/>
      <c r="CO124" s="177"/>
      <c r="CP124" s="177"/>
      <c r="CQ124" s="177"/>
      <c r="CR124" s="177"/>
      <c r="CS124" s="177"/>
      <c r="CT124" s="177"/>
      <c r="CU124" s="177"/>
      <c r="CV124" s="172"/>
      <c r="CW124" s="172"/>
      <c r="CX124" s="172"/>
      <c r="CY124" s="172"/>
      <c r="CZ124" s="172"/>
      <c r="DA124" s="196"/>
      <c r="DC124" s="169"/>
      <c r="DD124" s="177"/>
      <c r="DE124" s="177"/>
      <c r="DF124" s="177"/>
      <c r="DG124" s="177"/>
      <c r="DH124" s="177"/>
      <c r="DI124" s="177"/>
      <c r="DJ124" s="177"/>
      <c r="DK124" s="177"/>
      <c r="DL124" s="177"/>
      <c r="DM124" s="177"/>
      <c r="DN124" s="177"/>
      <c r="DO124" s="177"/>
      <c r="DP124" s="177"/>
      <c r="DQ124" s="172"/>
      <c r="DR124" s="172"/>
      <c r="DS124" s="172"/>
      <c r="DT124" s="172"/>
      <c r="DU124" s="172"/>
      <c r="DV124" s="196"/>
    </row>
    <row r="125" spans="1:126" x14ac:dyDescent="0.2">
      <c r="A125" s="143" t="s">
        <v>488</v>
      </c>
      <c r="AJ125" s="133"/>
      <c r="AK125" s="133"/>
      <c r="AL125" s="183"/>
      <c r="AM125" s="183"/>
      <c r="AN125" s="183"/>
      <c r="AO125" s="183"/>
      <c r="AP125" s="183"/>
      <c r="AQ125" s="183"/>
      <c r="AR125" s="183"/>
      <c r="AS125" s="183"/>
      <c r="AT125" s="183"/>
      <c r="AU125" s="183"/>
      <c r="AV125" s="183"/>
      <c r="AW125" s="183"/>
      <c r="AX125" s="183"/>
      <c r="AY125" s="183"/>
      <c r="AZ125" s="183"/>
      <c r="BA125" s="183"/>
      <c r="BB125" s="183"/>
      <c r="BC125" s="183"/>
      <c r="BD125" s="183"/>
      <c r="BE125" s="183"/>
      <c r="BF125" s="133"/>
      <c r="CG125" s="178"/>
      <c r="CH125" s="169"/>
      <c r="CI125" s="177"/>
      <c r="CJ125" s="177"/>
      <c r="CK125" s="177"/>
      <c r="CL125" s="177"/>
      <c r="CM125" s="177"/>
      <c r="CN125" s="177"/>
      <c r="CO125" s="177"/>
      <c r="CP125" s="177"/>
      <c r="CQ125" s="177"/>
      <c r="CR125" s="177"/>
      <c r="CS125" s="177"/>
      <c r="CT125" s="177"/>
      <c r="CU125" s="177"/>
      <c r="CV125" s="172"/>
      <c r="CW125" s="172"/>
      <c r="CX125" s="172"/>
      <c r="CY125" s="172"/>
      <c r="CZ125" s="172"/>
      <c r="DA125" s="196"/>
      <c r="DC125" s="169"/>
      <c r="DD125" s="177"/>
      <c r="DE125" s="177"/>
      <c r="DF125" s="177"/>
      <c r="DG125" s="177"/>
      <c r="DH125" s="177"/>
      <c r="DI125" s="177"/>
      <c r="DJ125" s="177"/>
      <c r="DK125" s="177"/>
      <c r="DL125" s="177"/>
      <c r="DM125" s="177"/>
      <c r="DN125" s="177"/>
      <c r="DO125" s="177"/>
      <c r="DP125" s="177"/>
      <c r="DQ125" s="172"/>
      <c r="DR125" s="172"/>
      <c r="DS125" s="172"/>
      <c r="DT125" s="172"/>
      <c r="DU125" s="172"/>
      <c r="DV125" s="196"/>
    </row>
    <row r="126" spans="1:126" x14ac:dyDescent="0.2">
      <c r="A126" s="143" t="s">
        <v>489</v>
      </c>
      <c r="AJ126" s="133"/>
      <c r="AK126" s="133"/>
      <c r="AL126" s="183"/>
      <c r="AM126" s="183"/>
      <c r="AN126" s="183"/>
      <c r="AO126" s="183"/>
      <c r="AP126" s="183"/>
      <c r="AQ126" s="183"/>
      <c r="AR126" s="183"/>
      <c r="AS126" s="183"/>
      <c r="AT126" s="183"/>
      <c r="AU126" s="183"/>
      <c r="AV126" s="183"/>
      <c r="AW126" s="183"/>
      <c r="AX126" s="183"/>
      <c r="AY126" s="183"/>
      <c r="AZ126" s="183"/>
      <c r="BA126" s="183"/>
      <c r="BB126" s="183"/>
      <c r="BC126" s="183"/>
      <c r="BD126" s="183"/>
      <c r="BE126" s="183"/>
      <c r="BF126" s="133"/>
      <c r="CG126" s="179"/>
      <c r="CH126" s="169"/>
      <c r="CI126" s="177"/>
      <c r="CJ126" s="177"/>
      <c r="CK126" s="177"/>
      <c r="CL126" s="177"/>
      <c r="CM126" s="177"/>
      <c r="CN126" s="177"/>
      <c r="CO126" s="177"/>
      <c r="CP126" s="177"/>
      <c r="CQ126" s="177"/>
      <c r="CR126" s="177"/>
      <c r="CS126" s="177"/>
      <c r="CT126" s="177"/>
      <c r="CU126" s="177"/>
      <c r="CV126" s="172"/>
      <c r="CW126" s="172"/>
      <c r="CX126" s="172"/>
      <c r="CY126" s="172"/>
      <c r="CZ126" s="172"/>
      <c r="DA126" s="196"/>
      <c r="DC126" s="169"/>
      <c r="DD126" s="177"/>
      <c r="DE126" s="177"/>
      <c r="DF126" s="177"/>
      <c r="DG126" s="177"/>
      <c r="DH126" s="177"/>
      <c r="DI126" s="177"/>
      <c r="DJ126" s="177"/>
      <c r="DK126" s="177"/>
      <c r="DL126" s="177"/>
      <c r="DM126" s="177"/>
      <c r="DN126" s="177"/>
      <c r="DO126" s="177"/>
      <c r="DP126" s="177"/>
      <c r="DQ126" s="172"/>
      <c r="DR126" s="172"/>
      <c r="DS126" s="172"/>
      <c r="DT126" s="172"/>
      <c r="DU126" s="172"/>
      <c r="DV126" s="196"/>
    </row>
    <row r="127" spans="1:126" x14ac:dyDescent="0.2">
      <c r="A127" s="143" t="s">
        <v>490</v>
      </c>
      <c r="AJ127" s="133"/>
      <c r="AK127" s="133"/>
      <c r="AL127" s="183"/>
      <c r="AM127" s="183"/>
      <c r="AN127" s="183"/>
      <c r="AO127" s="183"/>
      <c r="AP127" s="183"/>
      <c r="AQ127" s="183"/>
      <c r="AR127" s="183"/>
      <c r="AS127" s="183"/>
      <c r="AT127" s="183"/>
      <c r="AU127" s="183"/>
      <c r="AV127" s="183"/>
      <c r="AW127" s="183"/>
      <c r="AX127" s="183"/>
      <c r="AY127" s="183"/>
      <c r="AZ127" s="183"/>
      <c r="BA127" s="183"/>
      <c r="BB127" s="183"/>
      <c r="BC127" s="183"/>
      <c r="BD127" s="183"/>
      <c r="BE127" s="183"/>
      <c r="BF127" s="133"/>
      <c r="CG127" s="179"/>
      <c r="CH127" s="169"/>
      <c r="CI127" s="177"/>
      <c r="CJ127" s="177"/>
      <c r="CK127" s="177"/>
      <c r="CL127" s="177"/>
      <c r="CM127" s="177"/>
      <c r="CN127" s="177"/>
      <c r="CO127" s="177"/>
      <c r="CP127" s="177"/>
      <c r="CQ127" s="177"/>
      <c r="CR127" s="177"/>
      <c r="CS127" s="177"/>
      <c r="CT127" s="177"/>
      <c r="CU127" s="177"/>
      <c r="CV127" s="172"/>
      <c r="CW127" s="172"/>
      <c r="CX127" s="172"/>
      <c r="CY127" s="172"/>
      <c r="CZ127" s="172"/>
      <c r="DA127" s="196"/>
      <c r="DC127" s="169"/>
      <c r="DD127" s="177"/>
      <c r="DE127" s="177"/>
      <c r="DF127" s="177"/>
      <c r="DG127" s="177"/>
      <c r="DH127" s="177"/>
      <c r="DI127" s="177"/>
      <c r="DJ127" s="177"/>
      <c r="DK127" s="177"/>
      <c r="DL127" s="177"/>
      <c r="DM127" s="177"/>
      <c r="DN127" s="177"/>
      <c r="DO127" s="177"/>
      <c r="DP127" s="177"/>
      <c r="DQ127" s="172"/>
      <c r="DR127" s="172"/>
      <c r="DS127" s="172"/>
      <c r="DT127" s="172"/>
      <c r="DU127" s="172"/>
      <c r="DV127" s="196"/>
    </row>
    <row r="128" spans="1:126" x14ac:dyDescent="0.2">
      <c r="A128" s="143" t="s">
        <v>491</v>
      </c>
      <c r="AJ128" s="133"/>
      <c r="AK128" s="133"/>
      <c r="AL128" s="183"/>
      <c r="AM128" s="183"/>
      <c r="AN128" s="183"/>
      <c r="AO128" s="183"/>
      <c r="AP128" s="183"/>
      <c r="AQ128" s="183"/>
      <c r="AR128" s="183"/>
      <c r="AS128" s="183"/>
      <c r="AT128" s="183"/>
      <c r="AU128" s="183"/>
      <c r="AV128" s="183"/>
      <c r="AW128" s="183"/>
      <c r="AX128" s="183"/>
      <c r="AY128" s="183"/>
      <c r="AZ128" s="183"/>
      <c r="BA128" s="183"/>
      <c r="BB128" s="183"/>
      <c r="BC128" s="183"/>
      <c r="BD128" s="183"/>
      <c r="BE128" s="183"/>
      <c r="BF128" s="133"/>
      <c r="CG128" s="179"/>
      <c r="CH128" s="169"/>
      <c r="CI128" s="177"/>
      <c r="CJ128" s="177"/>
      <c r="CK128" s="177"/>
      <c r="CL128" s="177"/>
      <c r="CM128" s="177"/>
      <c r="CN128" s="177"/>
      <c r="CO128" s="177"/>
      <c r="CP128" s="177"/>
      <c r="CQ128" s="177"/>
      <c r="CR128" s="177"/>
      <c r="CS128" s="177"/>
      <c r="CT128" s="177"/>
      <c r="CU128" s="177"/>
      <c r="CV128" s="172"/>
      <c r="CW128" s="172"/>
      <c r="CX128" s="172"/>
      <c r="CY128" s="172"/>
      <c r="CZ128" s="172"/>
      <c r="DA128" s="196"/>
      <c r="DC128" s="169"/>
      <c r="DD128" s="177"/>
      <c r="DE128" s="177"/>
      <c r="DF128" s="177"/>
      <c r="DG128" s="177"/>
      <c r="DH128" s="177"/>
      <c r="DI128" s="177"/>
      <c r="DJ128" s="177"/>
      <c r="DK128" s="177"/>
      <c r="DL128" s="177"/>
      <c r="DM128" s="177"/>
      <c r="DN128" s="177"/>
      <c r="DO128" s="177"/>
      <c r="DP128" s="177"/>
      <c r="DQ128" s="172"/>
      <c r="DR128" s="172"/>
      <c r="DS128" s="172"/>
      <c r="DT128" s="172"/>
      <c r="DU128" s="172"/>
      <c r="DV128" s="196"/>
    </row>
    <row r="129" spans="1:126" x14ac:dyDescent="0.2">
      <c r="A129" s="143" t="s">
        <v>492</v>
      </c>
      <c r="AJ129" s="133"/>
      <c r="AK129" s="133"/>
      <c r="AL129" s="183"/>
      <c r="AM129" s="183"/>
      <c r="AN129" s="183"/>
      <c r="AO129" s="183"/>
      <c r="AP129" s="183"/>
      <c r="AQ129" s="183"/>
      <c r="AR129" s="183"/>
      <c r="AS129" s="183"/>
      <c r="AT129" s="183"/>
      <c r="AU129" s="183"/>
      <c r="AV129" s="183"/>
      <c r="AW129" s="183"/>
      <c r="AX129" s="183"/>
      <c r="AY129" s="183"/>
      <c r="AZ129" s="183"/>
      <c r="BA129" s="183"/>
      <c r="BB129" s="183"/>
      <c r="BC129" s="183"/>
      <c r="BD129" s="183"/>
      <c r="BE129" s="183"/>
      <c r="BF129" s="133"/>
      <c r="CG129" s="179"/>
      <c r="CH129" s="169"/>
      <c r="CI129" s="177"/>
      <c r="CJ129" s="177"/>
      <c r="CK129" s="177"/>
      <c r="CL129" s="177"/>
      <c r="CM129" s="177"/>
      <c r="CN129" s="177"/>
      <c r="CO129" s="177"/>
      <c r="CP129" s="177"/>
      <c r="CQ129" s="177"/>
      <c r="CR129" s="177"/>
      <c r="CS129" s="177"/>
      <c r="CT129" s="177"/>
      <c r="CU129" s="177"/>
      <c r="CV129" s="172"/>
      <c r="CW129" s="172"/>
      <c r="CX129" s="172"/>
      <c r="CY129" s="172"/>
      <c r="CZ129" s="172"/>
      <c r="DA129" s="196"/>
      <c r="DC129" s="169"/>
      <c r="DD129" s="177"/>
      <c r="DE129" s="177"/>
      <c r="DF129" s="177"/>
      <c r="DG129" s="177"/>
      <c r="DH129" s="177"/>
      <c r="DI129" s="177"/>
      <c r="DJ129" s="177"/>
      <c r="DK129" s="177"/>
      <c r="DL129" s="177"/>
      <c r="DM129" s="177"/>
      <c r="DN129" s="177"/>
      <c r="DO129" s="177"/>
      <c r="DP129" s="177"/>
      <c r="DQ129" s="172"/>
      <c r="DR129" s="172"/>
      <c r="DS129" s="172"/>
      <c r="DT129" s="172"/>
      <c r="DU129" s="172"/>
      <c r="DV129" s="196"/>
    </row>
    <row r="130" spans="1:126" x14ac:dyDescent="0.2">
      <c r="A130" s="143" t="s">
        <v>493</v>
      </c>
      <c r="AJ130" s="133"/>
      <c r="AK130" s="133"/>
      <c r="AL130" s="183"/>
      <c r="AM130" s="183"/>
      <c r="AN130" s="183"/>
      <c r="AO130" s="183"/>
      <c r="AP130" s="183"/>
      <c r="AQ130" s="183"/>
      <c r="AR130" s="183"/>
      <c r="AS130" s="183"/>
      <c r="AT130" s="183"/>
      <c r="AU130" s="183"/>
      <c r="AV130" s="183"/>
      <c r="AW130" s="183"/>
      <c r="AX130" s="183"/>
      <c r="AY130" s="183"/>
      <c r="AZ130" s="183"/>
      <c r="BA130" s="183"/>
      <c r="BB130" s="183"/>
      <c r="BC130" s="183"/>
      <c r="BD130" s="183"/>
      <c r="BE130" s="183"/>
      <c r="BF130" s="133"/>
      <c r="CG130" s="179"/>
      <c r="CH130" s="169"/>
      <c r="CI130" s="177"/>
      <c r="CJ130" s="177"/>
      <c r="CK130" s="177"/>
      <c r="CL130" s="177"/>
      <c r="CM130" s="177"/>
      <c r="CN130" s="177"/>
      <c r="CO130" s="177"/>
      <c r="CP130" s="177"/>
      <c r="CQ130" s="177"/>
      <c r="CR130" s="177"/>
      <c r="CS130" s="177"/>
      <c r="CT130" s="177"/>
      <c r="CU130" s="177"/>
      <c r="CV130" s="172"/>
      <c r="CW130" s="172"/>
      <c r="CX130" s="172"/>
      <c r="CY130" s="172"/>
      <c r="CZ130" s="172"/>
      <c r="DA130" s="196"/>
      <c r="DC130" s="169"/>
      <c r="DD130" s="177"/>
      <c r="DE130" s="177"/>
      <c r="DF130" s="177"/>
      <c r="DG130" s="177"/>
      <c r="DH130" s="177"/>
      <c r="DI130" s="177"/>
      <c r="DJ130" s="177"/>
      <c r="DK130" s="177"/>
      <c r="DL130" s="177"/>
      <c r="DM130" s="177"/>
      <c r="DN130" s="177"/>
      <c r="DO130" s="177"/>
      <c r="DP130" s="177"/>
      <c r="DQ130" s="172"/>
      <c r="DR130" s="172"/>
      <c r="DS130" s="172"/>
      <c r="DT130" s="172"/>
      <c r="DU130" s="172"/>
      <c r="DV130" s="196"/>
    </row>
    <row r="131" spans="1:126" x14ac:dyDescent="0.2">
      <c r="A131" s="143" t="s">
        <v>494</v>
      </c>
      <c r="AJ131" s="133"/>
      <c r="AK131" s="133"/>
      <c r="AL131" s="183"/>
      <c r="AM131" s="183"/>
      <c r="AN131" s="183"/>
      <c r="AO131" s="183"/>
      <c r="AP131" s="183"/>
      <c r="AQ131" s="183"/>
      <c r="AR131" s="183"/>
      <c r="AS131" s="183"/>
      <c r="AT131" s="183"/>
      <c r="AU131" s="183"/>
      <c r="AV131" s="183"/>
      <c r="AW131" s="183"/>
      <c r="AX131" s="183"/>
      <c r="AY131" s="183"/>
      <c r="AZ131" s="183"/>
      <c r="BA131" s="183"/>
      <c r="BB131" s="183"/>
      <c r="BC131" s="183"/>
      <c r="BD131" s="183"/>
      <c r="BE131" s="183"/>
      <c r="BF131" s="133"/>
      <c r="CG131" s="179"/>
      <c r="CH131" s="169"/>
      <c r="CI131" s="177"/>
      <c r="CJ131" s="177"/>
      <c r="CK131" s="177"/>
      <c r="CL131" s="177"/>
      <c r="CM131" s="177"/>
      <c r="CN131" s="177"/>
      <c r="CO131" s="177"/>
      <c r="CP131" s="177"/>
      <c r="CQ131" s="177"/>
      <c r="CR131" s="177"/>
      <c r="CS131" s="177"/>
      <c r="CT131" s="177"/>
      <c r="CU131" s="177"/>
      <c r="CV131" s="172"/>
      <c r="CW131" s="172"/>
      <c r="CX131" s="172"/>
      <c r="CY131" s="172"/>
      <c r="CZ131" s="172"/>
      <c r="DA131" s="196"/>
      <c r="DC131" s="169"/>
      <c r="DD131" s="177"/>
      <c r="DE131" s="177"/>
      <c r="DF131" s="177"/>
      <c r="DG131" s="177"/>
      <c r="DH131" s="177"/>
      <c r="DI131" s="177"/>
      <c r="DJ131" s="177"/>
      <c r="DK131" s="177"/>
      <c r="DL131" s="177"/>
      <c r="DM131" s="177"/>
      <c r="DN131" s="177"/>
      <c r="DO131" s="177"/>
      <c r="DP131" s="177"/>
      <c r="DQ131" s="172"/>
      <c r="DR131" s="172"/>
      <c r="DS131" s="172"/>
      <c r="DT131" s="172"/>
      <c r="DU131" s="172"/>
      <c r="DV131" s="196"/>
    </row>
    <row r="132" spans="1:126" x14ac:dyDescent="0.2">
      <c r="A132" s="143" t="s">
        <v>495</v>
      </c>
      <c r="AJ132" s="133"/>
      <c r="AK132" s="133"/>
      <c r="AL132" s="183"/>
      <c r="AM132" s="183"/>
      <c r="AN132" s="183"/>
      <c r="AO132" s="183"/>
      <c r="AP132" s="183"/>
      <c r="AQ132" s="183"/>
      <c r="AR132" s="183"/>
      <c r="AS132" s="183"/>
      <c r="AT132" s="183"/>
      <c r="AU132" s="183"/>
      <c r="AV132" s="183"/>
      <c r="AW132" s="183"/>
      <c r="AX132" s="183"/>
      <c r="AY132" s="183"/>
      <c r="AZ132" s="183"/>
      <c r="BA132" s="183"/>
      <c r="BB132" s="183"/>
      <c r="BC132" s="183"/>
      <c r="BD132" s="183"/>
      <c r="BE132" s="183"/>
      <c r="BF132" s="133"/>
      <c r="CG132" s="179"/>
      <c r="CH132" s="169"/>
      <c r="CI132" s="177"/>
      <c r="CJ132" s="177"/>
      <c r="CK132" s="177"/>
      <c r="CL132" s="177"/>
      <c r="CM132" s="177"/>
      <c r="CN132" s="177"/>
      <c r="CO132" s="177"/>
      <c r="CP132" s="177"/>
      <c r="CQ132" s="177"/>
      <c r="CR132" s="177"/>
      <c r="CS132" s="177"/>
      <c r="CT132" s="177"/>
      <c r="CU132" s="177"/>
      <c r="CV132" s="172"/>
      <c r="CW132" s="172"/>
      <c r="CX132" s="172"/>
      <c r="CY132" s="172"/>
      <c r="CZ132" s="172"/>
      <c r="DA132" s="196"/>
      <c r="DC132" s="169"/>
      <c r="DD132" s="177"/>
      <c r="DE132" s="177"/>
      <c r="DF132" s="177"/>
      <c r="DG132" s="177"/>
      <c r="DH132" s="177"/>
      <c r="DI132" s="177"/>
      <c r="DJ132" s="177"/>
      <c r="DK132" s="177"/>
      <c r="DL132" s="177"/>
      <c r="DM132" s="177"/>
      <c r="DN132" s="177"/>
      <c r="DO132" s="177"/>
      <c r="DP132" s="177"/>
      <c r="DQ132" s="172"/>
      <c r="DR132" s="172"/>
      <c r="DS132" s="172"/>
      <c r="DT132" s="172"/>
      <c r="DU132" s="172"/>
      <c r="DV132" s="196"/>
    </row>
    <row r="133" spans="1:126" x14ac:dyDescent="0.2">
      <c r="A133" s="143" t="s">
        <v>496</v>
      </c>
      <c r="AJ133" s="133"/>
      <c r="AK133" s="133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33"/>
      <c r="CG133" s="179"/>
      <c r="CH133" s="197"/>
      <c r="CI133" s="180"/>
      <c r="CJ133" s="180"/>
      <c r="CK133" s="180"/>
      <c r="CL133" s="180"/>
      <c r="CM133" s="180"/>
      <c r="CN133" s="180"/>
      <c r="CO133" s="180"/>
      <c r="CP133" s="180"/>
      <c r="CQ133" s="180"/>
      <c r="CR133" s="180"/>
      <c r="CS133" s="180"/>
      <c r="CT133" s="180"/>
      <c r="CU133" s="180"/>
      <c r="CV133" s="173"/>
      <c r="CW133" s="173"/>
      <c r="CX133" s="173"/>
      <c r="CY133" s="173"/>
      <c r="CZ133" s="173"/>
      <c r="DA133" s="198"/>
      <c r="DC133" s="197"/>
      <c r="DD133" s="180"/>
      <c r="DE133" s="180"/>
      <c r="DF133" s="180"/>
      <c r="DG133" s="180"/>
      <c r="DH133" s="180"/>
      <c r="DI133" s="180"/>
      <c r="DJ133" s="180"/>
      <c r="DK133" s="180"/>
      <c r="DL133" s="180"/>
      <c r="DM133" s="180"/>
      <c r="DN133" s="180"/>
      <c r="DO133" s="180"/>
      <c r="DP133" s="180"/>
      <c r="DQ133" s="173"/>
      <c r="DR133" s="173"/>
      <c r="DS133" s="173"/>
      <c r="DT133" s="173"/>
      <c r="DU133" s="173"/>
      <c r="DV133" s="198"/>
    </row>
    <row r="134" spans="1:126" x14ac:dyDescent="0.2">
      <c r="A134" s="143" t="s">
        <v>497</v>
      </c>
      <c r="AJ134" s="133"/>
      <c r="AK134" s="133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33"/>
      <c r="CG134" s="179"/>
      <c r="CH134" s="197"/>
      <c r="CI134" s="180"/>
      <c r="CJ134" s="180"/>
      <c r="CK134" s="180"/>
      <c r="CL134" s="180"/>
      <c r="CM134" s="180"/>
      <c r="CN134" s="180"/>
      <c r="CO134" s="180"/>
      <c r="CP134" s="180"/>
      <c r="CQ134" s="180"/>
      <c r="CR134" s="180"/>
      <c r="CS134" s="180"/>
      <c r="CT134" s="180"/>
      <c r="CU134" s="180"/>
      <c r="CV134" s="173"/>
      <c r="CW134" s="173"/>
      <c r="CX134" s="173"/>
      <c r="CY134" s="173"/>
      <c r="CZ134" s="173"/>
      <c r="DA134" s="198"/>
      <c r="DC134" s="197"/>
      <c r="DD134" s="180"/>
      <c r="DE134" s="180"/>
      <c r="DF134" s="180"/>
      <c r="DG134" s="180"/>
      <c r="DH134" s="180"/>
      <c r="DI134" s="180"/>
      <c r="DJ134" s="180"/>
      <c r="DK134" s="180"/>
      <c r="DL134" s="180"/>
      <c r="DM134" s="180"/>
      <c r="DN134" s="180"/>
      <c r="DO134" s="180"/>
      <c r="DP134" s="180"/>
      <c r="DQ134" s="173"/>
      <c r="DR134" s="173"/>
      <c r="DS134" s="173"/>
      <c r="DT134" s="173"/>
      <c r="DU134" s="173"/>
      <c r="DV134" s="198"/>
    </row>
    <row r="135" spans="1:126" x14ac:dyDescent="0.2">
      <c r="A135" s="143" t="s">
        <v>498</v>
      </c>
      <c r="AJ135" s="133"/>
      <c r="AK135" s="133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33"/>
      <c r="CG135" s="179"/>
      <c r="CH135" s="197"/>
      <c r="CI135" s="180"/>
      <c r="CJ135" s="180"/>
      <c r="CK135" s="180"/>
      <c r="CL135" s="180"/>
      <c r="CM135" s="180"/>
      <c r="CN135" s="180"/>
      <c r="CO135" s="180"/>
      <c r="CP135" s="180"/>
      <c r="CQ135" s="180"/>
      <c r="CR135" s="180"/>
      <c r="CS135" s="180"/>
      <c r="CT135" s="180"/>
      <c r="CU135" s="180"/>
      <c r="CV135" s="173"/>
      <c r="CW135" s="173"/>
      <c r="CX135" s="173"/>
      <c r="CY135" s="173"/>
      <c r="CZ135" s="173"/>
      <c r="DA135" s="198"/>
      <c r="DC135" s="197"/>
      <c r="DD135" s="180"/>
      <c r="DE135" s="180"/>
      <c r="DF135" s="180"/>
      <c r="DG135" s="180"/>
      <c r="DH135" s="180"/>
      <c r="DI135" s="180"/>
      <c r="DJ135" s="180"/>
      <c r="DK135" s="180"/>
      <c r="DL135" s="180"/>
      <c r="DM135" s="180"/>
      <c r="DN135" s="180"/>
      <c r="DO135" s="180"/>
      <c r="DP135" s="180"/>
      <c r="DQ135" s="173"/>
      <c r="DR135" s="173"/>
      <c r="DS135" s="173"/>
      <c r="DT135" s="173"/>
      <c r="DU135" s="173"/>
      <c r="DV135" s="198"/>
    </row>
    <row r="136" spans="1:126" x14ac:dyDescent="0.2">
      <c r="A136" s="143" t="s">
        <v>499</v>
      </c>
      <c r="AJ136" s="133"/>
      <c r="AK136" s="133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33"/>
      <c r="CG136" s="179"/>
      <c r="CH136" s="197"/>
      <c r="CI136" s="180"/>
      <c r="CJ136" s="180"/>
      <c r="CK136" s="180"/>
      <c r="CL136" s="180"/>
      <c r="CM136" s="180"/>
      <c r="CN136" s="180"/>
      <c r="CO136" s="180"/>
      <c r="CP136" s="180"/>
      <c r="CQ136" s="180"/>
      <c r="CR136" s="180"/>
      <c r="CS136" s="180"/>
      <c r="CT136" s="180"/>
      <c r="CU136" s="180"/>
      <c r="CV136" s="173"/>
      <c r="CW136" s="173"/>
      <c r="CX136" s="173"/>
      <c r="CY136" s="173"/>
      <c r="CZ136" s="173"/>
      <c r="DA136" s="198"/>
      <c r="DC136" s="197"/>
      <c r="DD136" s="180"/>
      <c r="DE136" s="180"/>
      <c r="DF136" s="180"/>
      <c r="DG136" s="180"/>
      <c r="DH136" s="180"/>
      <c r="DI136" s="180"/>
      <c r="DJ136" s="180"/>
      <c r="DK136" s="180"/>
      <c r="DL136" s="180"/>
      <c r="DM136" s="180"/>
      <c r="DN136" s="180"/>
      <c r="DO136" s="180"/>
      <c r="DP136" s="180"/>
      <c r="DQ136" s="173"/>
      <c r="DR136" s="173"/>
      <c r="DS136" s="173"/>
      <c r="DT136" s="173"/>
      <c r="DU136" s="173"/>
      <c r="DV136" s="198"/>
    </row>
    <row r="137" spans="1:126" x14ac:dyDescent="0.2">
      <c r="A137" s="144" t="s">
        <v>500</v>
      </c>
      <c r="AJ137" s="133"/>
      <c r="AK137" s="133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33"/>
      <c r="CG137" s="179"/>
      <c r="CH137" s="197"/>
      <c r="CI137" s="180"/>
      <c r="CJ137" s="180"/>
      <c r="CK137" s="180"/>
      <c r="CL137" s="180"/>
      <c r="CM137" s="180"/>
      <c r="CN137" s="180"/>
      <c r="CO137" s="180"/>
      <c r="CP137" s="180"/>
      <c r="CQ137" s="180"/>
      <c r="CR137" s="180"/>
      <c r="CS137" s="180"/>
      <c r="CT137" s="180"/>
      <c r="CU137" s="180"/>
      <c r="CV137" s="173"/>
      <c r="CW137" s="173"/>
      <c r="CX137" s="173"/>
      <c r="CY137" s="173"/>
      <c r="CZ137" s="173"/>
      <c r="DA137" s="198"/>
      <c r="DC137" s="197"/>
      <c r="DD137" s="180"/>
      <c r="DE137" s="180"/>
      <c r="DF137" s="180"/>
      <c r="DG137" s="180"/>
      <c r="DH137" s="180"/>
      <c r="DI137" s="180"/>
      <c r="DJ137" s="180"/>
      <c r="DK137" s="180"/>
      <c r="DL137" s="180"/>
      <c r="DM137" s="180"/>
      <c r="DN137" s="180"/>
      <c r="DO137" s="180"/>
      <c r="DP137" s="180"/>
      <c r="DQ137" s="173"/>
      <c r="DR137" s="173"/>
      <c r="DS137" s="173"/>
      <c r="DT137" s="173"/>
      <c r="DU137" s="173"/>
      <c r="DV137" s="198"/>
    </row>
    <row r="138" spans="1:126" x14ac:dyDescent="0.2">
      <c r="A138" s="142" t="s">
        <v>501</v>
      </c>
      <c r="AJ138" s="133"/>
      <c r="AK138" s="133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33"/>
      <c r="CG138" s="176"/>
      <c r="CH138" s="197"/>
      <c r="CI138" s="180"/>
      <c r="CJ138" s="180"/>
      <c r="CK138" s="180"/>
      <c r="CL138" s="180"/>
      <c r="CM138" s="180"/>
      <c r="CN138" s="180"/>
      <c r="CO138" s="180"/>
      <c r="CP138" s="180"/>
      <c r="CQ138" s="180"/>
      <c r="CR138" s="180"/>
      <c r="CS138" s="180"/>
      <c r="CT138" s="180"/>
      <c r="CU138" s="180"/>
      <c r="CV138" s="173"/>
      <c r="CW138" s="173"/>
      <c r="CX138" s="173"/>
      <c r="CY138" s="173"/>
      <c r="CZ138" s="173"/>
      <c r="DA138" s="198"/>
      <c r="DC138" s="197"/>
      <c r="DD138" s="180"/>
      <c r="DE138" s="180"/>
      <c r="DF138" s="180"/>
      <c r="DG138" s="180"/>
      <c r="DH138" s="180"/>
      <c r="DI138" s="180"/>
      <c r="DJ138" s="180"/>
      <c r="DK138" s="180"/>
      <c r="DL138" s="180"/>
      <c r="DM138" s="180"/>
      <c r="DN138" s="180"/>
      <c r="DO138" s="180"/>
      <c r="DP138" s="180"/>
      <c r="DQ138" s="173"/>
      <c r="DR138" s="173"/>
      <c r="DS138" s="173"/>
      <c r="DT138" s="173"/>
      <c r="DU138" s="173"/>
      <c r="DV138" s="198"/>
    </row>
    <row r="139" spans="1:126" x14ac:dyDescent="0.2">
      <c r="A139" s="143" t="s">
        <v>502</v>
      </c>
      <c r="AJ139" s="133"/>
      <c r="AK139" s="133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33"/>
      <c r="CG139" s="176"/>
      <c r="CH139" s="197"/>
      <c r="CI139" s="180"/>
      <c r="CJ139" s="180"/>
      <c r="CK139" s="180"/>
      <c r="CL139" s="180"/>
      <c r="CM139" s="180"/>
      <c r="CN139" s="180"/>
      <c r="CO139" s="180"/>
      <c r="CP139" s="180"/>
      <c r="CQ139" s="180"/>
      <c r="CR139" s="180"/>
      <c r="CS139" s="180"/>
      <c r="CT139" s="180"/>
      <c r="CU139" s="180"/>
      <c r="CV139" s="173"/>
      <c r="CW139" s="173"/>
      <c r="CX139" s="173"/>
      <c r="CY139" s="173"/>
      <c r="CZ139" s="173"/>
      <c r="DA139" s="198"/>
      <c r="DC139" s="197"/>
      <c r="DD139" s="180"/>
      <c r="DE139" s="180"/>
      <c r="DF139" s="180"/>
      <c r="DG139" s="180"/>
      <c r="DH139" s="180"/>
      <c r="DI139" s="180"/>
      <c r="DJ139" s="180"/>
      <c r="DK139" s="180"/>
      <c r="DL139" s="180"/>
      <c r="DM139" s="180"/>
      <c r="DN139" s="180"/>
      <c r="DO139" s="180"/>
      <c r="DP139" s="180"/>
      <c r="DQ139" s="173"/>
      <c r="DR139" s="173"/>
      <c r="DS139" s="173"/>
      <c r="DT139" s="173"/>
      <c r="DU139" s="173"/>
      <c r="DV139" s="198"/>
    </row>
    <row r="140" spans="1:126" x14ac:dyDescent="0.2">
      <c r="A140" s="143" t="s">
        <v>503</v>
      </c>
      <c r="AJ140" s="133"/>
      <c r="AK140" s="133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33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33"/>
      <c r="CG140" s="176"/>
      <c r="CH140" s="199"/>
      <c r="CI140" s="200"/>
      <c r="CJ140" s="200"/>
      <c r="CK140" s="200"/>
      <c r="CL140" s="200"/>
      <c r="CM140" s="200"/>
      <c r="CN140" s="200"/>
      <c r="CO140" s="200"/>
      <c r="CP140" s="200"/>
      <c r="CQ140" s="201"/>
      <c r="CR140" s="202"/>
      <c r="CS140" s="200"/>
      <c r="CT140" s="200"/>
      <c r="CU140" s="200"/>
      <c r="CV140" s="203"/>
      <c r="CW140" s="203"/>
      <c r="CX140" s="203"/>
      <c r="CY140" s="203"/>
      <c r="CZ140" s="203"/>
      <c r="DA140" s="204"/>
      <c r="DC140" s="199"/>
      <c r="DD140" s="200"/>
      <c r="DE140" s="200"/>
      <c r="DF140" s="200"/>
      <c r="DG140" s="200"/>
      <c r="DH140" s="200"/>
      <c r="DI140" s="200"/>
      <c r="DJ140" s="200"/>
      <c r="DK140" s="200"/>
      <c r="DL140" s="200"/>
      <c r="DM140" s="200"/>
      <c r="DN140" s="200"/>
      <c r="DO140" s="200"/>
      <c r="DP140" s="200"/>
      <c r="DQ140" s="203"/>
      <c r="DR140" s="203"/>
      <c r="DS140" s="203"/>
      <c r="DT140" s="203"/>
      <c r="DU140" s="203"/>
      <c r="DV140" s="204"/>
    </row>
    <row r="141" spans="1:126" x14ac:dyDescent="0.2">
      <c r="A141" s="143" t="s">
        <v>504</v>
      </c>
      <c r="AJ141" s="133"/>
      <c r="AK141" s="133"/>
      <c r="AL141" s="183"/>
      <c r="AM141" s="183"/>
      <c r="AN141" s="183"/>
      <c r="AO141" s="183"/>
      <c r="AP141" s="183"/>
      <c r="AQ141" s="183"/>
      <c r="AR141" s="183"/>
      <c r="AS141" s="183"/>
      <c r="AT141" s="183"/>
      <c r="AU141" s="183"/>
      <c r="AV141" s="183"/>
      <c r="AW141" s="183"/>
      <c r="AX141" s="183"/>
      <c r="AY141" s="183"/>
      <c r="AZ141" s="183"/>
      <c r="BA141" s="183"/>
      <c r="BB141" s="183"/>
      <c r="BC141" s="183"/>
      <c r="BD141" s="183"/>
      <c r="BE141" s="183"/>
      <c r="BF141" s="133"/>
      <c r="CG141" s="176">
        <v>8</v>
      </c>
      <c r="CH141" s="192"/>
      <c r="CI141" s="193"/>
      <c r="CJ141" s="193"/>
      <c r="CK141" s="193"/>
      <c r="CL141" s="193"/>
      <c r="CM141" s="193"/>
      <c r="CN141" s="193"/>
      <c r="CO141" s="193"/>
      <c r="CP141" s="193"/>
      <c r="CQ141" s="193"/>
      <c r="CR141" s="193"/>
      <c r="CS141" s="193"/>
      <c r="CT141" s="193"/>
      <c r="CU141" s="193"/>
      <c r="CV141" s="194"/>
      <c r="CW141" s="194"/>
      <c r="CX141" s="194"/>
      <c r="CY141" s="194"/>
      <c r="CZ141" s="194"/>
      <c r="DA141" s="195"/>
      <c r="DC141" s="192"/>
      <c r="DD141" s="193"/>
      <c r="DE141" s="193"/>
      <c r="DF141" s="193"/>
      <c r="DG141" s="193"/>
      <c r="DH141" s="193"/>
      <c r="DI141" s="193"/>
      <c r="DJ141" s="193"/>
      <c r="DK141" s="193"/>
      <c r="DL141" s="193"/>
      <c r="DM141" s="193"/>
      <c r="DN141" s="193"/>
      <c r="DO141" s="193"/>
      <c r="DP141" s="193"/>
      <c r="DQ141" s="194"/>
      <c r="DR141" s="194"/>
      <c r="DS141" s="194"/>
      <c r="DT141" s="194"/>
      <c r="DU141" s="194"/>
      <c r="DV141" s="195"/>
    </row>
    <row r="142" spans="1:126" x14ac:dyDescent="0.2">
      <c r="A142" s="143" t="s">
        <v>505</v>
      </c>
      <c r="AJ142" s="133"/>
      <c r="AK142" s="133"/>
      <c r="AL142" s="183"/>
      <c r="AM142" s="183"/>
      <c r="AN142" s="183"/>
      <c r="AO142" s="183"/>
      <c r="AP142" s="183"/>
      <c r="AQ142" s="183"/>
      <c r="AR142" s="183"/>
      <c r="AS142" s="183"/>
      <c r="AT142" s="183"/>
      <c r="AU142" s="183"/>
      <c r="AV142" s="183"/>
      <c r="AW142" s="183"/>
      <c r="AX142" s="183"/>
      <c r="AY142" s="183"/>
      <c r="AZ142" s="183"/>
      <c r="BA142" s="183"/>
      <c r="BB142" s="183"/>
      <c r="BC142" s="183"/>
      <c r="BD142" s="183"/>
      <c r="BE142" s="183"/>
      <c r="BF142" s="133"/>
      <c r="CG142" s="176"/>
      <c r="CH142" s="169"/>
      <c r="CI142" s="177"/>
      <c r="CJ142" s="177"/>
      <c r="CK142" s="177"/>
      <c r="CL142" s="177"/>
      <c r="CM142" s="177"/>
      <c r="CN142" s="177"/>
      <c r="CO142" s="177"/>
      <c r="CP142" s="177"/>
      <c r="CQ142" s="177"/>
      <c r="CR142" s="177"/>
      <c r="CS142" s="177"/>
      <c r="CT142" s="177"/>
      <c r="CU142" s="177"/>
      <c r="CV142" s="172"/>
      <c r="CW142" s="172"/>
      <c r="CX142" s="172"/>
      <c r="CY142" s="172"/>
      <c r="CZ142" s="172"/>
      <c r="DA142" s="196"/>
      <c r="DC142" s="169"/>
      <c r="DD142" s="177"/>
      <c r="DE142" s="177"/>
      <c r="DF142" s="177"/>
      <c r="DG142" s="177"/>
      <c r="DH142" s="177"/>
      <c r="DI142" s="177"/>
      <c r="DJ142" s="177"/>
      <c r="DK142" s="177"/>
      <c r="DL142" s="177"/>
      <c r="DM142" s="177"/>
      <c r="DN142" s="177"/>
      <c r="DO142" s="177"/>
      <c r="DP142" s="177"/>
      <c r="DQ142" s="172"/>
      <c r="DR142" s="172"/>
      <c r="DS142" s="172"/>
      <c r="DT142" s="172"/>
      <c r="DU142" s="172"/>
      <c r="DV142" s="196"/>
    </row>
    <row r="143" spans="1:126" x14ac:dyDescent="0.2">
      <c r="A143" s="143" t="s">
        <v>506</v>
      </c>
      <c r="AJ143" s="133"/>
      <c r="AK143" s="133"/>
      <c r="AL143" s="183"/>
      <c r="AM143" s="183"/>
      <c r="AN143" s="183"/>
      <c r="AO143" s="183"/>
      <c r="AP143" s="183"/>
      <c r="AQ143" s="183"/>
      <c r="AR143" s="183"/>
      <c r="AS143" s="183"/>
      <c r="AT143" s="183"/>
      <c r="AU143" s="183"/>
      <c r="AV143" s="183"/>
      <c r="AW143" s="183"/>
      <c r="AX143" s="183"/>
      <c r="AY143" s="183"/>
      <c r="AZ143" s="183"/>
      <c r="BA143" s="183"/>
      <c r="BB143" s="183"/>
      <c r="BC143" s="183"/>
      <c r="BD143" s="183"/>
      <c r="BE143" s="183"/>
      <c r="BF143" s="133"/>
      <c r="CG143" s="131"/>
      <c r="CH143" s="169"/>
      <c r="CI143" s="177"/>
      <c r="CJ143" s="177"/>
      <c r="CK143" s="177"/>
      <c r="CL143" s="177"/>
      <c r="CM143" s="177"/>
      <c r="CN143" s="177"/>
      <c r="CO143" s="177"/>
      <c r="CP143" s="177"/>
      <c r="CQ143" s="177"/>
      <c r="CR143" s="177"/>
      <c r="CS143" s="177"/>
      <c r="CT143" s="177"/>
      <c r="CU143" s="177"/>
      <c r="CV143" s="172"/>
      <c r="CW143" s="172"/>
      <c r="CX143" s="172"/>
      <c r="CY143" s="172"/>
      <c r="CZ143" s="172"/>
      <c r="DA143" s="196"/>
      <c r="DC143" s="169"/>
      <c r="DD143" s="177"/>
      <c r="DE143" s="177"/>
      <c r="DF143" s="177"/>
      <c r="DG143" s="177"/>
      <c r="DH143" s="177"/>
      <c r="DI143" s="177"/>
      <c r="DJ143" s="177"/>
      <c r="DK143" s="177"/>
      <c r="DL143" s="177"/>
      <c r="DM143" s="177"/>
      <c r="DN143" s="177"/>
      <c r="DO143" s="177"/>
      <c r="DP143" s="177"/>
      <c r="DQ143" s="172"/>
      <c r="DR143" s="172"/>
      <c r="DS143" s="172"/>
      <c r="DT143" s="172"/>
      <c r="DU143" s="172"/>
      <c r="DV143" s="196"/>
    </row>
    <row r="144" spans="1:126" x14ac:dyDescent="0.2">
      <c r="A144" s="143" t="s">
        <v>507</v>
      </c>
      <c r="AJ144" s="133"/>
      <c r="AK144" s="133"/>
      <c r="AL144" s="183"/>
      <c r="AM144" s="183"/>
      <c r="AN144" s="183"/>
      <c r="AO144" s="183"/>
      <c r="AP144" s="183"/>
      <c r="AQ144" s="183"/>
      <c r="AR144" s="183"/>
      <c r="AS144" s="183"/>
      <c r="AT144" s="183"/>
      <c r="AU144" s="183"/>
      <c r="AV144" s="183"/>
      <c r="AW144" s="183"/>
      <c r="AX144" s="183"/>
      <c r="AY144" s="183"/>
      <c r="AZ144" s="183"/>
      <c r="BA144" s="183"/>
      <c r="BB144" s="183"/>
      <c r="BC144" s="183"/>
      <c r="BD144" s="183"/>
      <c r="BE144" s="183"/>
      <c r="BF144" s="133"/>
      <c r="CG144" s="176"/>
      <c r="CH144" s="169"/>
      <c r="CI144" s="177"/>
      <c r="CJ144" s="177"/>
      <c r="CK144" s="177"/>
      <c r="CL144" s="177"/>
      <c r="CM144" s="177"/>
      <c r="CN144" s="177"/>
      <c r="CO144" s="177"/>
      <c r="CP144" s="177"/>
      <c r="CQ144" s="177"/>
      <c r="CR144" s="177"/>
      <c r="CS144" s="177"/>
      <c r="CT144" s="177"/>
      <c r="CU144" s="177"/>
      <c r="CV144" s="172"/>
      <c r="CW144" s="172"/>
      <c r="CX144" s="172"/>
      <c r="CY144" s="172"/>
      <c r="CZ144" s="172"/>
      <c r="DA144" s="196"/>
      <c r="DC144" s="169"/>
      <c r="DD144" s="177"/>
      <c r="DE144" s="177"/>
      <c r="DF144" s="177"/>
      <c r="DG144" s="177"/>
      <c r="DH144" s="177"/>
      <c r="DI144" s="177"/>
      <c r="DJ144" s="177"/>
      <c r="DK144" s="177"/>
      <c r="DL144" s="177"/>
      <c r="DM144" s="177"/>
      <c r="DN144" s="177"/>
      <c r="DO144" s="177"/>
      <c r="DP144" s="177"/>
      <c r="DQ144" s="172"/>
      <c r="DR144" s="172"/>
      <c r="DS144" s="172"/>
      <c r="DT144" s="172"/>
      <c r="DU144" s="172"/>
      <c r="DV144" s="196"/>
    </row>
    <row r="145" spans="1:126" x14ac:dyDescent="0.2">
      <c r="A145" s="143" t="s">
        <v>508</v>
      </c>
      <c r="AJ145" s="133"/>
      <c r="AK145" s="133"/>
      <c r="AL145" s="183"/>
      <c r="AM145" s="183"/>
      <c r="AN145" s="183"/>
      <c r="AO145" s="183"/>
      <c r="AP145" s="183"/>
      <c r="AQ145" s="183"/>
      <c r="AR145" s="183"/>
      <c r="AS145" s="183"/>
      <c r="AT145" s="183"/>
      <c r="AU145" s="183"/>
      <c r="AV145" s="183"/>
      <c r="AW145" s="183"/>
      <c r="AX145" s="183"/>
      <c r="AY145" s="183"/>
      <c r="AZ145" s="183"/>
      <c r="BA145" s="183"/>
      <c r="BB145" s="183"/>
      <c r="BC145" s="183"/>
      <c r="BD145" s="183"/>
      <c r="BE145" s="183"/>
      <c r="BF145" s="133"/>
      <c r="CG145" s="178"/>
      <c r="CH145" s="169"/>
      <c r="CI145" s="177"/>
      <c r="CJ145" s="177"/>
      <c r="CK145" s="177"/>
      <c r="CL145" s="177"/>
      <c r="CM145" s="177"/>
      <c r="CN145" s="177"/>
      <c r="CO145" s="177"/>
      <c r="CP145" s="177"/>
      <c r="CQ145" s="177"/>
      <c r="CR145" s="177"/>
      <c r="CS145" s="177"/>
      <c r="CT145" s="177"/>
      <c r="CU145" s="177"/>
      <c r="CV145" s="172"/>
      <c r="CW145" s="172"/>
      <c r="CX145" s="172"/>
      <c r="CY145" s="172"/>
      <c r="CZ145" s="172"/>
      <c r="DA145" s="196"/>
      <c r="DC145" s="169"/>
      <c r="DD145" s="177"/>
      <c r="DE145" s="177"/>
      <c r="DF145" s="177"/>
      <c r="DG145" s="177"/>
      <c r="DH145" s="177"/>
      <c r="DI145" s="177"/>
      <c r="DJ145" s="177"/>
      <c r="DK145" s="177"/>
      <c r="DL145" s="177"/>
      <c r="DM145" s="177"/>
      <c r="DN145" s="177"/>
      <c r="DO145" s="177"/>
      <c r="DP145" s="177"/>
      <c r="DQ145" s="172"/>
      <c r="DR145" s="172"/>
      <c r="DS145" s="172"/>
      <c r="DT145" s="172"/>
      <c r="DU145" s="172"/>
      <c r="DV145" s="196"/>
    </row>
    <row r="146" spans="1:126" x14ac:dyDescent="0.2">
      <c r="A146" s="143" t="s">
        <v>509</v>
      </c>
      <c r="AJ146" s="133"/>
      <c r="AK146" s="133"/>
      <c r="AL146" s="183"/>
      <c r="AM146" s="183"/>
      <c r="AN146" s="183"/>
      <c r="AO146" s="183"/>
      <c r="AP146" s="183"/>
      <c r="AQ146" s="183"/>
      <c r="AR146" s="183"/>
      <c r="AS146" s="183"/>
      <c r="AT146" s="183"/>
      <c r="AU146" s="183"/>
      <c r="AV146" s="183"/>
      <c r="AW146" s="183"/>
      <c r="AX146" s="183"/>
      <c r="AY146" s="183"/>
      <c r="AZ146" s="183"/>
      <c r="BA146" s="183"/>
      <c r="BB146" s="183"/>
      <c r="BC146" s="183"/>
      <c r="BD146" s="183"/>
      <c r="BE146" s="183"/>
      <c r="BF146" s="133"/>
      <c r="CG146" s="179"/>
      <c r="CH146" s="169"/>
      <c r="CI146" s="177"/>
      <c r="CJ146" s="177"/>
      <c r="CK146" s="177"/>
      <c r="CL146" s="177"/>
      <c r="CM146" s="177"/>
      <c r="CN146" s="177"/>
      <c r="CO146" s="177"/>
      <c r="CP146" s="177"/>
      <c r="CQ146" s="177"/>
      <c r="CR146" s="177"/>
      <c r="CS146" s="177"/>
      <c r="CT146" s="177"/>
      <c r="CU146" s="177"/>
      <c r="CV146" s="172"/>
      <c r="CW146" s="172"/>
      <c r="CX146" s="172"/>
      <c r="CY146" s="172"/>
      <c r="CZ146" s="172"/>
      <c r="DA146" s="196"/>
      <c r="DC146" s="169"/>
      <c r="DD146" s="177"/>
      <c r="DE146" s="177"/>
      <c r="DF146" s="177"/>
      <c r="DG146" s="177"/>
      <c r="DH146" s="177"/>
      <c r="DI146" s="177"/>
      <c r="DJ146" s="177"/>
      <c r="DK146" s="177"/>
      <c r="DL146" s="177"/>
      <c r="DM146" s="177"/>
      <c r="DN146" s="177"/>
      <c r="DO146" s="177"/>
      <c r="DP146" s="177"/>
      <c r="DQ146" s="172"/>
      <c r="DR146" s="172"/>
      <c r="DS146" s="172"/>
      <c r="DT146" s="172"/>
      <c r="DU146" s="172"/>
      <c r="DV146" s="196"/>
    </row>
    <row r="147" spans="1:126" x14ac:dyDescent="0.2">
      <c r="A147" s="143" t="s">
        <v>510</v>
      </c>
      <c r="AJ147" s="133"/>
      <c r="AK147" s="13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33"/>
      <c r="CG147" s="179"/>
      <c r="CH147" s="169"/>
      <c r="CI147" s="177"/>
      <c r="CJ147" s="177"/>
      <c r="CK147" s="177"/>
      <c r="CL147" s="177"/>
      <c r="CM147" s="177"/>
      <c r="CN147" s="177"/>
      <c r="CO147" s="177"/>
      <c r="CP147" s="177"/>
      <c r="CQ147" s="177"/>
      <c r="CR147" s="177"/>
      <c r="CS147" s="177"/>
      <c r="CT147" s="177"/>
      <c r="CU147" s="177"/>
      <c r="CV147" s="172"/>
      <c r="CW147" s="172"/>
      <c r="CX147" s="172"/>
      <c r="CY147" s="172"/>
      <c r="CZ147" s="172"/>
      <c r="DA147" s="196"/>
      <c r="DC147" s="169"/>
      <c r="DD147" s="177"/>
      <c r="DE147" s="177"/>
      <c r="DF147" s="177"/>
      <c r="DG147" s="177"/>
      <c r="DH147" s="177"/>
      <c r="DI147" s="177"/>
      <c r="DJ147" s="177"/>
      <c r="DK147" s="177"/>
      <c r="DL147" s="177"/>
      <c r="DM147" s="177"/>
      <c r="DN147" s="177"/>
      <c r="DO147" s="177"/>
      <c r="DP147" s="177"/>
      <c r="DQ147" s="172"/>
      <c r="DR147" s="172"/>
      <c r="DS147" s="172"/>
      <c r="DT147" s="172"/>
      <c r="DU147" s="172"/>
      <c r="DV147" s="196"/>
    </row>
    <row r="148" spans="1:126" x14ac:dyDescent="0.2">
      <c r="A148" s="143" t="s">
        <v>511</v>
      </c>
      <c r="AJ148" s="133"/>
      <c r="AK148" s="13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33"/>
      <c r="CG148" s="179"/>
      <c r="CH148" s="169"/>
      <c r="CI148" s="177"/>
      <c r="CJ148" s="177"/>
      <c r="CK148" s="177"/>
      <c r="CL148" s="177"/>
      <c r="CM148" s="177"/>
      <c r="CN148" s="177"/>
      <c r="CO148" s="177"/>
      <c r="CP148" s="177"/>
      <c r="CQ148" s="177"/>
      <c r="CR148" s="177"/>
      <c r="CS148" s="177"/>
      <c r="CT148" s="177"/>
      <c r="CU148" s="177"/>
      <c r="CV148" s="172"/>
      <c r="CW148" s="172"/>
      <c r="CX148" s="172"/>
      <c r="CY148" s="172"/>
      <c r="CZ148" s="172"/>
      <c r="DA148" s="196"/>
      <c r="DC148" s="169"/>
      <c r="DD148" s="177"/>
      <c r="DE148" s="177"/>
      <c r="DF148" s="177"/>
      <c r="DG148" s="177"/>
      <c r="DH148" s="177"/>
      <c r="DI148" s="177"/>
      <c r="DJ148" s="177"/>
      <c r="DK148" s="177"/>
      <c r="DL148" s="177"/>
      <c r="DM148" s="177"/>
      <c r="DN148" s="177"/>
      <c r="DO148" s="177"/>
      <c r="DP148" s="177"/>
      <c r="DQ148" s="172"/>
      <c r="DR148" s="172"/>
      <c r="DS148" s="172"/>
      <c r="DT148" s="172"/>
      <c r="DU148" s="172"/>
      <c r="DV148" s="196"/>
    </row>
    <row r="149" spans="1:126" x14ac:dyDescent="0.2">
      <c r="A149" s="143" t="s">
        <v>512</v>
      </c>
      <c r="AJ149" s="133"/>
      <c r="AK149" s="13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33"/>
      <c r="CG149" s="179"/>
      <c r="CH149" s="169"/>
      <c r="CI149" s="177"/>
      <c r="CJ149" s="177"/>
      <c r="CK149" s="177"/>
      <c r="CL149" s="177"/>
      <c r="CM149" s="177"/>
      <c r="CN149" s="177"/>
      <c r="CO149" s="177"/>
      <c r="CP149" s="177"/>
      <c r="CQ149" s="177"/>
      <c r="CR149" s="177"/>
      <c r="CS149" s="177"/>
      <c r="CT149" s="177"/>
      <c r="CU149" s="177"/>
      <c r="CV149" s="172"/>
      <c r="CW149" s="172"/>
      <c r="CX149" s="172"/>
      <c r="CY149" s="172"/>
      <c r="CZ149" s="172"/>
      <c r="DA149" s="196"/>
      <c r="DC149" s="169"/>
      <c r="DD149" s="177"/>
      <c r="DE149" s="177"/>
      <c r="DF149" s="177"/>
      <c r="DG149" s="177"/>
      <c r="DH149" s="177"/>
      <c r="DI149" s="177"/>
      <c r="DJ149" s="177"/>
      <c r="DK149" s="177"/>
      <c r="DL149" s="177"/>
      <c r="DM149" s="177"/>
      <c r="DN149" s="177"/>
      <c r="DO149" s="177"/>
      <c r="DP149" s="177"/>
      <c r="DQ149" s="172"/>
      <c r="DR149" s="172"/>
      <c r="DS149" s="172"/>
      <c r="DT149" s="172"/>
      <c r="DU149" s="172"/>
      <c r="DV149" s="196"/>
    </row>
    <row r="150" spans="1:126" x14ac:dyDescent="0.2">
      <c r="A150" s="143" t="s">
        <v>513</v>
      </c>
      <c r="AJ150" s="133"/>
      <c r="AK150" s="13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33"/>
      <c r="CG150" s="179"/>
      <c r="CH150" s="169"/>
      <c r="CI150" s="177"/>
      <c r="CJ150" s="177"/>
      <c r="CK150" s="177"/>
      <c r="CL150" s="177"/>
      <c r="CM150" s="177"/>
      <c r="CN150" s="177"/>
      <c r="CO150" s="177"/>
      <c r="CP150" s="177"/>
      <c r="CQ150" s="177"/>
      <c r="CR150" s="177"/>
      <c r="CS150" s="177"/>
      <c r="CT150" s="177"/>
      <c r="CU150" s="177"/>
      <c r="CV150" s="172"/>
      <c r="CW150" s="172"/>
      <c r="CX150" s="172"/>
      <c r="CY150" s="172"/>
      <c r="CZ150" s="172"/>
      <c r="DA150" s="196"/>
      <c r="DC150" s="169"/>
      <c r="DD150" s="177"/>
      <c r="DE150" s="177"/>
      <c r="DF150" s="177"/>
      <c r="DG150" s="177"/>
      <c r="DH150" s="177"/>
      <c r="DI150" s="177"/>
      <c r="DJ150" s="177"/>
      <c r="DK150" s="177"/>
      <c r="DL150" s="177"/>
      <c r="DM150" s="177"/>
      <c r="DN150" s="177"/>
      <c r="DO150" s="177"/>
      <c r="DP150" s="177"/>
      <c r="DQ150" s="172"/>
      <c r="DR150" s="172"/>
      <c r="DS150" s="172"/>
      <c r="DT150" s="172"/>
      <c r="DU150" s="172"/>
      <c r="DV150" s="196"/>
    </row>
    <row r="151" spans="1:126" x14ac:dyDescent="0.2">
      <c r="A151" s="143" t="s">
        <v>514</v>
      </c>
      <c r="AJ151" s="133"/>
      <c r="AK151" s="13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33"/>
      <c r="CG151" s="179"/>
      <c r="CH151" s="169"/>
      <c r="CI151" s="177"/>
      <c r="CJ151" s="177"/>
      <c r="CK151" s="177"/>
      <c r="CL151" s="177"/>
      <c r="CM151" s="177"/>
      <c r="CN151" s="177"/>
      <c r="CO151" s="177"/>
      <c r="CP151" s="177"/>
      <c r="CQ151" s="177"/>
      <c r="CR151" s="177"/>
      <c r="CS151" s="177"/>
      <c r="CT151" s="177"/>
      <c r="CU151" s="177"/>
      <c r="CV151" s="172"/>
      <c r="CW151" s="172"/>
      <c r="CX151" s="172"/>
      <c r="CY151" s="172"/>
      <c r="CZ151" s="172"/>
      <c r="DA151" s="196"/>
      <c r="DC151" s="169"/>
      <c r="DD151" s="177"/>
      <c r="DE151" s="177"/>
      <c r="DF151" s="177"/>
      <c r="DG151" s="177"/>
      <c r="DH151" s="177"/>
      <c r="DI151" s="177"/>
      <c r="DJ151" s="177"/>
      <c r="DK151" s="177"/>
      <c r="DL151" s="177"/>
      <c r="DM151" s="177"/>
      <c r="DN151" s="177"/>
      <c r="DO151" s="177"/>
      <c r="DP151" s="177"/>
      <c r="DQ151" s="172"/>
      <c r="DR151" s="172"/>
      <c r="DS151" s="172"/>
      <c r="DT151" s="172"/>
      <c r="DU151" s="172"/>
      <c r="DV151" s="196"/>
    </row>
    <row r="152" spans="1:126" x14ac:dyDescent="0.2">
      <c r="A152" s="143" t="s">
        <v>515</v>
      </c>
      <c r="AJ152" s="133"/>
      <c r="AK152" s="13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33"/>
      <c r="CG152" s="179"/>
      <c r="CH152" s="169"/>
      <c r="CI152" s="177"/>
      <c r="CJ152" s="177"/>
      <c r="CK152" s="177"/>
      <c r="CL152" s="177"/>
      <c r="CM152" s="177"/>
      <c r="CN152" s="177"/>
      <c r="CO152" s="177"/>
      <c r="CP152" s="177"/>
      <c r="CQ152" s="177"/>
      <c r="CR152" s="177"/>
      <c r="CS152" s="177"/>
      <c r="CT152" s="177"/>
      <c r="CU152" s="177"/>
      <c r="CV152" s="172"/>
      <c r="CW152" s="172"/>
      <c r="CX152" s="172"/>
      <c r="CY152" s="172"/>
      <c r="CZ152" s="172"/>
      <c r="DA152" s="196"/>
      <c r="DC152" s="169"/>
      <c r="DD152" s="177"/>
      <c r="DE152" s="177"/>
      <c r="DF152" s="177"/>
      <c r="DG152" s="177"/>
      <c r="DH152" s="177"/>
      <c r="DI152" s="177"/>
      <c r="DJ152" s="177"/>
      <c r="DK152" s="177"/>
      <c r="DL152" s="177"/>
      <c r="DM152" s="177"/>
      <c r="DN152" s="177"/>
      <c r="DO152" s="177"/>
      <c r="DP152" s="177"/>
      <c r="DQ152" s="172"/>
      <c r="DR152" s="172"/>
      <c r="DS152" s="172"/>
      <c r="DT152" s="172"/>
      <c r="DU152" s="172"/>
      <c r="DV152" s="196"/>
    </row>
    <row r="153" spans="1:126" x14ac:dyDescent="0.2">
      <c r="A153" s="143" t="s">
        <v>516</v>
      </c>
      <c r="AJ153" s="133"/>
      <c r="AK153" s="133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33"/>
      <c r="CG153" s="179"/>
      <c r="CH153" s="197"/>
      <c r="CI153" s="180"/>
      <c r="CJ153" s="180"/>
      <c r="CK153" s="180"/>
      <c r="CL153" s="180"/>
      <c r="CM153" s="180"/>
      <c r="CN153" s="180"/>
      <c r="CO153" s="180"/>
      <c r="CP153" s="180"/>
      <c r="CQ153" s="180"/>
      <c r="CR153" s="180"/>
      <c r="CS153" s="180"/>
      <c r="CT153" s="180"/>
      <c r="CU153" s="180"/>
      <c r="CV153" s="173"/>
      <c r="CW153" s="173"/>
      <c r="CX153" s="173"/>
      <c r="CY153" s="173"/>
      <c r="CZ153" s="173"/>
      <c r="DA153" s="198"/>
      <c r="DC153" s="197"/>
      <c r="DD153" s="180"/>
      <c r="DE153" s="180"/>
      <c r="DF153" s="180"/>
      <c r="DG153" s="180"/>
      <c r="DH153" s="180"/>
      <c r="DI153" s="180"/>
      <c r="DJ153" s="180"/>
      <c r="DK153" s="180"/>
      <c r="DL153" s="180"/>
      <c r="DM153" s="180"/>
      <c r="DN153" s="180"/>
      <c r="DO153" s="180"/>
      <c r="DP153" s="180"/>
      <c r="DQ153" s="173"/>
      <c r="DR153" s="173"/>
      <c r="DS153" s="173"/>
      <c r="DT153" s="173"/>
      <c r="DU153" s="173"/>
      <c r="DV153" s="198"/>
    </row>
    <row r="154" spans="1:126" x14ac:dyDescent="0.2">
      <c r="A154" s="143" t="s">
        <v>517</v>
      </c>
      <c r="AJ154" s="133"/>
      <c r="AK154" s="133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33"/>
      <c r="CG154" s="179"/>
      <c r="CH154" s="197"/>
      <c r="CI154" s="180"/>
      <c r="CJ154" s="180"/>
      <c r="CK154" s="180"/>
      <c r="CL154" s="180"/>
      <c r="CM154" s="180"/>
      <c r="CN154" s="180"/>
      <c r="CO154" s="180"/>
      <c r="CP154" s="180"/>
      <c r="CQ154" s="180"/>
      <c r="CR154" s="180"/>
      <c r="CS154" s="180"/>
      <c r="CT154" s="180"/>
      <c r="CU154" s="180"/>
      <c r="CV154" s="173"/>
      <c r="CW154" s="173"/>
      <c r="CX154" s="173"/>
      <c r="CY154" s="173"/>
      <c r="CZ154" s="173"/>
      <c r="DA154" s="198"/>
      <c r="DC154" s="197"/>
      <c r="DD154" s="180"/>
      <c r="DE154" s="180"/>
      <c r="DF154" s="180"/>
      <c r="DG154" s="180"/>
      <c r="DH154" s="180"/>
      <c r="DI154" s="180"/>
      <c r="DJ154" s="180"/>
      <c r="DK154" s="180"/>
      <c r="DL154" s="180"/>
      <c r="DM154" s="180"/>
      <c r="DN154" s="180"/>
      <c r="DO154" s="180"/>
      <c r="DP154" s="180"/>
      <c r="DQ154" s="173"/>
      <c r="DR154" s="173"/>
      <c r="DS154" s="173"/>
      <c r="DT154" s="173"/>
      <c r="DU154" s="173"/>
      <c r="DV154" s="198"/>
    </row>
    <row r="155" spans="1:126" x14ac:dyDescent="0.2">
      <c r="A155" s="143" t="s">
        <v>518</v>
      </c>
      <c r="AJ155" s="133"/>
      <c r="AK155" s="133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33"/>
      <c r="CG155" s="179"/>
      <c r="CH155" s="197"/>
      <c r="CI155" s="180"/>
      <c r="CJ155" s="180"/>
      <c r="CK155" s="180"/>
      <c r="CL155" s="180"/>
      <c r="CM155" s="180"/>
      <c r="CN155" s="180"/>
      <c r="CO155" s="180"/>
      <c r="CP155" s="180"/>
      <c r="CQ155" s="180"/>
      <c r="CR155" s="180"/>
      <c r="CS155" s="180"/>
      <c r="CT155" s="180"/>
      <c r="CU155" s="180"/>
      <c r="CV155" s="173"/>
      <c r="CW155" s="173"/>
      <c r="CX155" s="173"/>
      <c r="CY155" s="173"/>
      <c r="CZ155" s="173"/>
      <c r="DA155" s="198"/>
      <c r="DC155" s="197"/>
      <c r="DD155" s="180"/>
      <c r="DE155" s="180"/>
      <c r="DF155" s="180"/>
      <c r="DG155" s="180"/>
      <c r="DH155" s="180"/>
      <c r="DI155" s="180"/>
      <c r="DJ155" s="180"/>
      <c r="DK155" s="180"/>
      <c r="DL155" s="180"/>
      <c r="DM155" s="180"/>
      <c r="DN155" s="180"/>
      <c r="DO155" s="180"/>
      <c r="DP155" s="180"/>
      <c r="DQ155" s="173"/>
      <c r="DR155" s="173"/>
      <c r="DS155" s="173"/>
      <c r="DT155" s="173"/>
      <c r="DU155" s="173"/>
      <c r="DV155" s="198"/>
    </row>
    <row r="156" spans="1:126" x14ac:dyDescent="0.2">
      <c r="A156" s="143" t="s">
        <v>519</v>
      </c>
      <c r="AJ156" s="133"/>
      <c r="AK156" s="133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33"/>
      <c r="CG156" s="179"/>
      <c r="CH156" s="197"/>
      <c r="CI156" s="180"/>
      <c r="CJ156" s="180"/>
      <c r="CK156" s="180"/>
      <c r="CL156" s="180"/>
      <c r="CM156" s="180"/>
      <c r="CN156" s="180"/>
      <c r="CO156" s="180"/>
      <c r="CP156" s="180"/>
      <c r="CQ156" s="180"/>
      <c r="CR156" s="180"/>
      <c r="CS156" s="180"/>
      <c r="CT156" s="180"/>
      <c r="CU156" s="180"/>
      <c r="CV156" s="173"/>
      <c r="CW156" s="173"/>
      <c r="CX156" s="173"/>
      <c r="CY156" s="173"/>
      <c r="CZ156" s="173"/>
      <c r="DA156" s="198"/>
      <c r="DC156" s="197"/>
      <c r="DD156" s="180"/>
      <c r="DE156" s="180"/>
      <c r="DF156" s="180"/>
      <c r="DG156" s="180"/>
      <c r="DH156" s="180"/>
      <c r="DI156" s="180"/>
      <c r="DJ156" s="180"/>
      <c r="DK156" s="180"/>
      <c r="DL156" s="180"/>
      <c r="DM156" s="180"/>
      <c r="DN156" s="180"/>
      <c r="DO156" s="180"/>
      <c r="DP156" s="180"/>
      <c r="DQ156" s="173"/>
      <c r="DR156" s="173"/>
      <c r="DS156" s="173"/>
      <c r="DT156" s="173"/>
      <c r="DU156" s="173"/>
      <c r="DV156" s="198"/>
    </row>
    <row r="157" spans="1:126" x14ac:dyDescent="0.2">
      <c r="A157" s="144" t="s">
        <v>520</v>
      </c>
      <c r="AJ157" s="133"/>
      <c r="AK157" s="133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33"/>
      <c r="CG157" s="179"/>
      <c r="CH157" s="197"/>
      <c r="CI157" s="180"/>
      <c r="CJ157" s="180"/>
      <c r="CK157" s="180"/>
      <c r="CL157" s="180"/>
      <c r="CM157" s="180"/>
      <c r="CN157" s="180"/>
      <c r="CO157" s="180"/>
      <c r="CP157" s="180"/>
      <c r="CQ157" s="180"/>
      <c r="CR157" s="180"/>
      <c r="CS157" s="180"/>
      <c r="CT157" s="180"/>
      <c r="CU157" s="180"/>
      <c r="CV157" s="173"/>
      <c r="CW157" s="173"/>
      <c r="CX157" s="173"/>
      <c r="CY157" s="173"/>
      <c r="CZ157" s="173"/>
      <c r="DA157" s="198"/>
      <c r="DC157" s="197"/>
      <c r="DD157" s="180"/>
      <c r="DE157" s="180"/>
      <c r="DF157" s="180"/>
      <c r="DG157" s="180"/>
      <c r="DH157" s="180"/>
      <c r="DI157" s="180"/>
      <c r="DJ157" s="180"/>
      <c r="DK157" s="180"/>
      <c r="DL157" s="180"/>
      <c r="DM157" s="180"/>
      <c r="DN157" s="180"/>
      <c r="DO157" s="180"/>
      <c r="DP157" s="180"/>
      <c r="DQ157" s="173"/>
      <c r="DR157" s="173"/>
      <c r="DS157" s="173"/>
      <c r="DT157" s="173"/>
      <c r="DU157" s="173"/>
      <c r="DV157" s="198"/>
    </row>
    <row r="158" spans="1:126" x14ac:dyDescent="0.2">
      <c r="A158" s="142" t="s">
        <v>521</v>
      </c>
      <c r="AJ158" s="133"/>
      <c r="AK158" s="133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33"/>
      <c r="CG158" s="176"/>
      <c r="CH158" s="197"/>
      <c r="CI158" s="180"/>
      <c r="CJ158" s="180"/>
      <c r="CK158" s="180"/>
      <c r="CL158" s="180"/>
      <c r="CM158" s="180"/>
      <c r="CN158" s="180"/>
      <c r="CO158" s="180"/>
      <c r="CP158" s="180"/>
      <c r="CQ158" s="180"/>
      <c r="CR158" s="180"/>
      <c r="CS158" s="180"/>
      <c r="CT158" s="180"/>
      <c r="CU158" s="180"/>
      <c r="CV158" s="173"/>
      <c r="CW158" s="173"/>
      <c r="CX158" s="173"/>
      <c r="CY158" s="173"/>
      <c r="CZ158" s="173"/>
      <c r="DA158" s="198"/>
      <c r="DC158" s="197"/>
      <c r="DD158" s="180"/>
      <c r="DE158" s="180"/>
      <c r="DF158" s="180"/>
      <c r="DG158" s="180"/>
      <c r="DH158" s="180"/>
      <c r="DI158" s="180"/>
      <c r="DJ158" s="180"/>
      <c r="DK158" s="180"/>
      <c r="DL158" s="180"/>
      <c r="DM158" s="180"/>
      <c r="DN158" s="180"/>
      <c r="DO158" s="180"/>
      <c r="DP158" s="180"/>
      <c r="DQ158" s="173"/>
      <c r="DR158" s="173"/>
      <c r="DS158" s="173"/>
      <c r="DT158" s="173"/>
      <c r="DU158" s="173"/>
      <c r="DV158" s="198"/>
    </row>
    <row r="159" spans="1:126" x14ac:dyDescent="0.2">
      <c r="A159" s="143" t="s">
        <v>522</v>
      </c>
      <c r="AJ159" s="133"/>
      <c r="AK159" s="133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33"/>
      <c r="CG159" s="176"/>
      <c r="CH159" s="197"/>
      <c r="CI159" s="180"/>
      <c r="CJ159" s="180"/>
      <c r="CK159" s="180"/>
      <c r="CL159" s="180"/>
      <c r="CM159" s="180"/>
      <c r="CN159" s="180"/>
      <c r="CO159" s="180"/>
      <c r="CP159" s="180"/>
      <c r="CQ159" s="180"/>
      <c r="CR159" s="180"/>
      <c r="CS159" s="180"/>
      <c r="CT159" s="180"/>
      <c r="CU159" s="180"/>
      <c r="CV159" s="173"/>
      <c r="CW159" s="173"/>
      <c r="CX159" s="173"/>
      <c r="CY159" s="173"/>
      <c r="CZ159" s="173"/>
      <c r="DA159" s="198"/>
      <c r="DC159" s="197"/>
      <c r="DD159" s="180"/>
      <c r="DE159" s="180"/>
      <c r="DF159" s="180"/>
      <c r="DG159" s="180"/>
      <c r="DH159" s="180"/>
      <c r="DI159" s="180"/>
      <c r="DJ159" s="180"/>
      <c r="DK159" s="180"/>
      <c r="DL159" s="180"/>
      <c r="DM159" s="180"/>
      <c r="DN159" s="180"/>
      <c r="DO159" s="180"/>
      <c r="DP159" s="180"/>
      <c r="DQ159" s="173"/>
      <c r="DR159" s="173"/>
      <c r="DS159" s="173"/>
      <c r="DT159" s="173"/>
      <c r="DU159" s="173"/>
      <c r="DV159" s="198"/>
    </row>
    <row r="160" spans="1:126" x14ac:dyDescent="0.2">
      <c r="A160" s="143" t="s">
        <v>523</v>
      </c>
      <c r="AJ160" s="133"/>
      <c r="AK160" s="133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33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33"/>
      <c r="CG160" s="176"/>
      <c r="CH160" s="199"/>
      <c r="CI160" s="200"/>
      <c r="CJ160" s="200"/>
      <c r="CK160" s="200"/>
      <c r="CL160" s="200"/>
      <c r="CM160" s="200"/>
      <c r="CN160" s="200"/>
      <c r="CO160" s="200"/>
      <c r="CP160" s="200"/>
      <c r="CQ160" s="201"/>
      <c r="CR160" s="202"/>
      <c r="CS160" s="200"/>
      <c r="CT160" s="200"/>
      <c r="CU160" s="200"/>
      <c r="CV160" s="203"/>
      <c r="CW160" s="203"/>
      <c r="CX160" s="203"/>
      <c r="CY160" s="203"/>
      <c r="CZ160" s="203"/>
      <c r="DA160" s="204"/>
      <c r="DC160" s="199"/>
      <c r="DD160" s="200"/>
      <c r="DE160" s="200"/>
      <c r="DF160" s="200"/>
      <c r="DG160" s="200"/>
      <c r="DH160" s="200"/>
      <c r="DI160" s="200"/>
      <c r="DJ160" s="200"/>
      <c r="DK160" s="200"/>
      <c r="DL160" s="200"/>
      <c r="DM160" s="200"/>
      <c r="DN160" s="200"/>
      <c r="DO160" s="200"/>
      <c r="DP160" s="200"/>
      <c r="DQ160" s="203"/>
      <c r="DR160" s="203"/>
      <c r="DS160" s="203"/>
      <c r="DT160" s="203"/>
      <c r="DU160" s="203"/>
      <c r="DV160" s="204"/>
    </row>
    <row r="161" spans="1:126" x14ac:dyDescent="0.2">
      <c r="A161" s="143" t="s">
        <v>524</v>
      </c>
      <c r="AJ161" s="133"/>
      <c r="AK161" s="133"/>
      <c r="AL161" s="183"/>
      <c r="AM161" s="183"/>
      <c r="AN161" s="183"/>
      <c r="AO161" s="183"/>
      <c r="AP161" s="183"/>
      <c r="AQ161" s="183"/>
      <c r="AR161" s="183"/>
      <c r="AS161" s="183"/>
      <c r="AT161" s="183"/>
      <c r="AU161" s="183"/>
      <c r="AV161" s="183"/>
      <c r="AW161" s="183"/>
      <c r="AX161" s="183"/>
      <c r="AY161" s="183"/>
      <c r="AZ161" s="183"/>
      <c r="BA161" s="183"/>
      <c r="BB161" s="183"/>
      <c r="BC161" s="183"/>
      <c r="BD161" s="183"/>
      <c r="BE161" s="183"/>
      <c r="BF161" s="133"/>
      <c r="CG161" s="176">
        <v>9</v>
      </c>
      <c r="CH161" s="192"/>
      <c r="CI161" s="193"/>
      <c r="CJ161" s="193"/>
      <c r="CK161" s="193"/>
      <c r="CL161" s="193"/>
      <c r="CM161" s="193"/>
      <c r="CN161" s="193"/>
      <c r="CO161" s="193"/>
      <c r="CP161" s="193"/>
      <c r="CQ161" s="193"/>
      <c r="CR161" s="193"/>
      <c r="CS161" s="193"/>
      <c r="CT161" s="193"/>
      <c r="CU161" s="193"/>
      <c r="CV161" s="194"/>
      <c r="CW161" s="194"/>
      <c r="CX161" s="194"/>
      <c r="CY161" s="194"/>
      <c r="CZ161" s="194"/>
      <c r="DA161" s="195"/>
      <c r="DC161" s="192"/>
      <c r="DD161" s="193"/>
      <c r="DE161" s="193"/>
      <c r="DF161" s="193"/>
      <c r="DG161" s="193"/>
      <c r="DH161" s="193"/>
      <c r="DI161" s="193"/>
      <c r="DJ161" s="193"/>
      <c r="DK161" s="193"/>
      <c r="DL161" s="193"/>
      <c r="DM161" s="193"/>
      <c r="DN161" s="193"/>
      <c r="DO161" s="193"/>
      <c r="DP161" s="193"/>
      <c r="DQ161" s="194"/>
      <c r="DR161" s="194"/>
      <c r="DS161" s="194"/>
      <c r="DT161" s="194"/>
      <c r="DU161" s="194"/>
      <c r="DV161" s="195"/>
    </row>
    <row r="162" spans="1:126" x14ac:dyDescent="0.2">
      <c r="A162" s="143" t="s">
        <v>525</v>
      </c>
      <c r="AJ162" s="133"/>
      <c r="AK162" s="133"/>
      <c r="AL162" s="183"/>
      <c r="AM162" s="183"/>
      <c r="AN162" s="183"/>
      <c r="AO162" s="183"/>
      <c r="AP162" s="183"/>
      <c r="AQ162" s="183"/>
      <c r="AR162" s="183"/>
      <c r="AS162" s="183"/>
      <c r="AT162" s="183"/>
      <c r="AU162" s="183"/>
      <c r="AV162" s="183"/>
      <c r="AW162" s="183"/>
      <c r="AX162" s="183"/>
      <c r="AY162" s="183"/>
      <c r="AZ162" s="183"/>
      <c r="BA162" s="183"/>
      <c r="BB162" s="183"/>
      <c r="BC162" s="183"/>
      <c r="BD162" s="183"/>
      <c r="BE162" s="183"/>
      <c r="BF162" s="133"/>
      <c r="CG162" s="176"/>
      <c r="CH162" s="169"/>
      <c r="CI162" s="177"/>
      <c r="CJ162" s="177"/>
      <c r="CK162" s="177"/>
      <c r="CL162" s="177"/>
      <c r="CM162" s="177"/>
      <c r="CN162" s="177"/>
      <c r="CO162" s="177"/>
      <c r="CP162" s="177"/>
      <c r="CQ162" s="177"/>
      <c r="CR162" s="177"/>
      <c r="CS162" s="177"/>
      <c r="CT162" s="177"/>
      <c r="CU162" s="177"/>
      <c r="CV162" s="172"/>
      <c r="CW162" s="172"/>
      <c r="CX162" s="172"/>
      <c r="CY162" s="172"/>
      <c r="CZ162" s="172"/>
      <c r="DA162" s="196"/>
      <c r="DC162" s="169"/>
      <c r="DD162" s="177"/>
      <c r="DE162" s="177"/>
      <c r="DF162" s="177"/>
      <c r="DG162" s="177"/>
      <c r="DH162" s="177"/>
      <c r="DI162" s="177"/>
      <c r="DJ162" s="177"/>
      <c r="DK162" s="177"/>
      <c r="DL162" s="177"/>
      <c r="DM162" s="177"/>
      <c r="DN162" s="177"/>
      <c r="DO162" s="177"/>
      <c r="DP162" s="177"/>
      <c r="DQ162" s="172"/>
      <c r="DR162" s="172"/>
      <c r="DS162" s="172"/>
      <c r="DT162" s="172"/>
      <c r="DU162" s="172"/>
      <c r="DV162" s="196"/>
    </row>
    <row r="163" spans="1:126" x14ac:dyDescent="0.2">
      <c r="A163" s="143" t="s">
        <v>526</v>
      </c>
      <c r="AJ163" s="133"/>
      <c r="AK163" s="133"/>
      <c r="AL163" s="183"/>
      <c r="AM163" s="183"/>
      <c r="AN163" s="183"/>
      <c r="AO163" s="183"/>
      <c r="AP163" s="183"/>
      <c r="AQ163" s="183"/>
      <c r="AR163" s="183"/>
      <c r="AS163" s="183"/>
      <c r="AT163" s="183"/>
      <c r="AU163" s="183"/>
      <c r="AV163" s="183"/>
      <c r="AW163" s="183"/>
      <c r="AX163" s="183"/>
      <c r="AY163" s="183"/>
      <c r="AZ163" s="183"/>
      <c r="BA163" s="183"/>
      <c r="BB163" s="183"/>
      <c r="BC163" s="183"/>
      <c r="BD163" s="183"/>
      <c r="BE163" s="183"/>
      <c r="BF163" s="133"/>
      <c r="CG163" s="131"/>
      <c r="CH163" s="169"/>
      <c r="CI163" s="177"/>
      <c r="CJ163" s="177"/>
      <c r="CK163" s="177"/>
      <c r="CL163" s="177"/>
      <c r="CM163" s="177"/>
      <c r="CN163" s="177"/>
      <c r="CO163" s="177"/>
      <c r="CP163" s="177"/>
      <c r="CQ163" s="177"/>
      <c r="CR163" s="177"/>
      <c r="CS163" s="177"/>
      <c r="CT163" s="177"/>
      <c r="CU163" s="177"/>
      <c r="CV163" s="172"/>
      <c r="CW163" s="172"/>
      <c r="CX163" s="172"/>
      <c r="CY163" s="172"/>
      <c r="CZ163" s="172"/>
      <c r="DA163" s="196"/>
      <c r="DC163" s="169"/>
      <c r="DD163" s="177"/>
      <c r="DE163" s="177"/>
      <c r="DF163" s="177"/>
      <c r="DG163" s="177"/>
      <c r="DH163" s="177"/>
      <c r="DI163" s="177"/>
      <c r="DJ163" s="177"/>
      <c r="DK163" s="177"/>
      <c r="DL163" s="177"/>
      <c r="DM163" s="177"/>
      <c r="DN163" s="177"/>
      <c r="DO163" s="177"/>
      <c r="DP163" s="177"/>
      <c r="DQ163" s="172"/>
      <c r="DR163" s="172"/>
      <c r="DS163" s="172"/>
      <c r="DT163" s="172"/>
      <c r="DU163" s="172"/>
      <c r="DV163" s="196"/>
    </row>
    <row r="164" spans="1:126" x14ac:dyDescent="0.2">
      <c r="A164" s="143" t="s">
        <v>527</v>
      </c>
      <c r="AJ164" s="133"/>
      <c r="AK164" s="133"/>
      <c r="AL164" s="183"/>
      <c r="AM164" s="183"/>
      <c r="AN164" s="183"/>
      <c r="AO164" s="183"/>
      <c r="AP164" s="183"/>
      <c r="AQ164" s="183"/>
      <c r="AR164" s="183"/>
      <c r="AS164" s="183"/>
      <c r="AT164" s="183"/>
      <c r="AU164" s="183"/>
      <c r="AV164" s="183"/>
      <c r="AW164" s="183"/>
      <c r="AX164" s="183"/>
      <c r="AY164" s="183"/>
      <c r="AZ164" s="183"/>
      <c r="BA164" s="183"/>
      <c r="BB164" s="183"/>
      <c r="BC164" s="183"/>
      <c r="BD164" s="183"/>
      <c r="BE164" s="183"/>
      <c r="BF164" s="133"/>
      <c r="CG164" s="176"/>
      <c r="CH164" s="169"/>
      <c r="CI164" s="177"/>
      <c r="CJ164" s="177"/>
      <c r="CK164" s="177"/>
      <c r="CL164" s="177"/>
      <c r="CM164" s="177"/>
      <c r="CN164" s="177"/>
      <c r="CO164" s="177"/>
      <c r="CP164" s="177"/>
      <c r="CQ164" s="177"/>
      <c r="CR164" s="177"/>
      <c r="CS164" s="177"/>
      <c r="CT164" s="177"/>
      <c r="CU164" s="177"/>
      <c r="CV164" s="172"/>
      <c r="CW164" s="172"/>
      <c r="CX164" s="172"/>
      <c r="CY164" s="172"/>
      <c r="CZ164" s="172"/>
      <c r="DA164" s="196"/>
      <c r="DC164" s="169"/>
      <c r="DD164" s="177"/>
      <c r="DE164" s="177"/>
      <c r="DF164" s="177"/>
      <c r="DG164" s="177"/>
      <c r="DH164" s="177"/>
      <c r="DI164" s="177"/>
      <c r="DJ164" s="177"/>
      <c r="DK164" s="177"/>
      <c r="DL164" s="177"/>
      <c r="DM164" s="177"/>
      <c r="DN164" s="177"/>
      <c r="DO164" s="177"/>
      <c r="DP164" s="177"/>
      <c r="DQ164" s="172"/>
      <c r="DR164" s="172"/>
      <c r="DS164" s="172"/>
      <c r="DT164" s="172"/>
      <c r="DU164" s="172"/>
      <c r="DV164" s="196"/>
    </row>
    <row r="165" spans="1:126" x14ac:dyDescent="0.2">
      <c r="A165" s="143" t="s">
        <v>528</v>
      </c>
      <c r="AJ165" s="133"/>
      <c r="AK165" s="133"/>
      <c r="AL165" s="183"/>
      <c r="AM165" s="183"/>
      <c r="AN165" s="183"/>
      <c r="AO165" s="183"/>
      <c r="AP165" s="183"/>
      <c r="AQ165" s="183"/>
      <c r="AR165" s="183"/>
      <c r="AS165" s="183"/>
      <c r="AT165" s="183"/>
      <c r="AU165" s="183"/>
      <c r="AV165" s="183"/>
      <c r="AW165" s="183"/>
      <c r="AX165" s="183"/>
      <c r="AY165" s="183"/>
      <c r="AZ165" s="183"/>
      <c r="BA165" s="183"/>
      <c r="BB165" s="183"/>
      <c r="BC165" s="183"/>
      <c r="BD165" s="183"/>
      <c r="BE165" s="183"/>
      <c r="BF165" s="133"/>
      <c r="CG165" s="178"/>
      <c r="CH165" s="169"/>
      <c r="CI165" s="177"/>
      <c r="CJ165" s="177"/>
      <c r="CK165" s="177"/>
      <c r="CL165" s="177"/>
      <c r="CM165" s="177"/>
      <c r="CN165" s="177"/>
      <c r="CO165" s="177"/>
      <c r="CP165" s="177"/>
      <c r="CQ165" s="177"/>
      <c r="CR165" s="177"/>
      <c r="CS165" s="177"/>
      <c r="CT165" s="177"/>
      <c r="CU165" s="177"/>
      <c r="CV165" s="172"/>
      <c r="CW165" s="172"/>
      <c r="CX165" s="172"/>
      <c r="CY165" s="172"/>
      <c r="CZ165" s="172"/>
      <c r="DA165" s="196"/>
      <c r="DC165" s="169"/>
      <c r="DD165" s="177"/>
      <c r="DE165" s="177"/>
      <c r="DF165" s="177"/>
      <c r="DG165" s="177"/>
      <c r="DH165" s="177"/>
      <c r="DI165" s="177"/>
      <c r="DJ165" s="177"/>
      <c r="DK165" s="177"/>
      <c r="DL165" s="177"/>
      <c r="DM165" s="177"/>
      <c r="DN165" s="177"/>
      <c r="DO165" s="177"/>
      <c r="DP165" s="177"/>
      <c r="DQ165" s="172"/>
      <c r="DR165" s="172"/>
      <c r="DS165" s="172"/>
      <c r="DT165" s="172"/>
      <c r="DU165" s="172"/>
      <c r="DV165" s="196"/>
    </row>
    <row r="166" spans="1:126" x14ac:dyDescent="0.2">
      <c r="A166" s="143" t="s">
        <v>529</v>
      </c>
      <c r="AJ166" s="133"/>
      <c r="AK166" s="133"/>
      <c r="AL166" s="183"/>
      <c r="AM166" s="183"/>
      <c r="AN166" s="183"/>
      <c r="AO166" s="183"/>
      <c r="AP166" s="183"/>
      <c r="AQ166" s="183"/>
      <c r="AR166" s="183"/>
      <c r="AS166" s="183"/>
      <c r="AT166" s="183"/>
      <c r="AU166" s="183"/>
      <c r="AV166" s="183"/>
      <c r="AW166" s="183"/>
      <c r="AX166" s="183"/>
      <c r="AY166" s="183"/>
      <c r="AZ166" s="183"/>
      <c r="BA166" s="183"/>
      <c r="BB166" s="183"/>
      <c r="BC166" s="183"/>
      <c r="BD166" s="183"/>
      <c r="BE166" s="183"/>
      <c r="BF166" s="133"/>
      <c r="CG166" s="179"/>
      <c r="CH166" s="169"/>
      <c r="CI166" s="177"/>
      <c r="CJ166" s="177"/>
      <c r="CK166" s="177"/>
      <c r="CL166" s="177"/>
      <c r="CM166" s="177"/>
      <c r="CN166" s="177"/>
      <c r="CO166" s="177"/>
      <c r="CP166" s="177"/>
      <c r="CQ166" s="177"/>
      <c r="CR166" s="177"/>
      <c r="CS166" s="177"/>
      <c r="CT166" s="177"/>
      <c r="CU166" s="177"/>
      <c r="CV166" s="172"/>
      <c r="CW166" s="172"/>
      <c r="CX166" s="172"/>
      <c r="CY166" s="172"/>
      <c r="CZ166" s="172"/>
      <c r="DA166" s="196"/>
      <c r="DC166" s="169"/>
      <c r="DD166" s="177"/>
      <c r="DE166" s="177"/>
      <c r="DF166" s="177"/>
      <c r="DG166" s="177"/>
      <c r="DH166" s="177"/>
      <c r="DI166" s="177"/>
      <c r="DJ166" s="177"/>
      <c r="DK166" s="177"/>
      <c r="DL166" s="177"/>
      <c r="DM166" s="177"/>
      <c r="DN166" s="177"/>
      <c r="DO166" s="177"/>
      <c r="DP166" s="177"/>
      <c r="DQ166" s="172"/>
      <c r="DR166" s="172"/>
      <c r="DS166" s="172"/>
      <c r="DT166" s="172"/>
      <c r="DU166" s="172"/>
      <c r="DV166" s="196"/>
    </row>
    <row r="167" spans="1:126" x14ac:dyDescent="0.2">
      <c r="A167" s="143" t="s">
        <v>530</v>
      </c>
      <c r="AJ167" s="133"/>
      <c r="AK167" s="133"/>
      <c r="AL167" s="183"/>
      <c r="AM167" s="183"/>
      <c r="AN167" s="183"/>
      <c r="AO167" s="183"/>
      <c r="AP167" s="183"/>
      <c r="AQ167" s="183"/>
      <c r="AR167" s="183"/>
      <c r="AS167" s="183"/>
      <c r="AT167" s="183"/>
      <c r="AU167" s="183"/>
      <c r="AV167" s="183"/>
      <c r="AW167" s="183"/>
      <c r="AX167" s="183"/>
      <c r="AY167" s="183"/>
      <c r="AZ167" s="183"/>
      <c r="BA167" s="183"/>
      <c r="BB167" s="183"/>
      <c r="BC167" s="183"/>
      <c r="BD167" s="183"/>
      <c r="BE167" s="183"/>
      <c r="BF167" s="133"/>
      <c r="CG167" s="179"/>
      <c r="CH167" s="169"/>
      <c r="CI167" s="177"/>
      <c r="CJ167" s="177"/>
      <c r="CK167" s="177"/>
      <c r="CL167" s="177"/>
      <c r="CM167" s="177"/>
      <c r="CN167" s="177"/>
      <c r="CO167" s="177"/>
      <c r="CP167" s="177"/>
      <c r="CQ167" s="177"/>
      <c r="CR167" s="177"/>
      <c r="CS167" s="177"/>
      <c r="CT167" s="177"/>
      <c r="CU167" s="177"/>
      <c r="CV167" s="172"/>
      <c r="CW167" s="172"/>
      <c r="CX167" s="172"/>
      <c r="CY167" s="172"/>
      <c r="CZ167" s="172"/>
      <c r="DA167" s="196"/>
      <c r="DC167" s="169"/>
      <c r="DD167" s="177"/>
      <c r="DE167" s="177"/>
      <c r="DF167" s="177"/>
      <c r="DG167" s="177"/>
      <c r="DH167" s="177"/>
      <c r="DI167" s="177"/>
      <c r="DJ167" s="177"/>
      <c r="DK167" s="177"/>
      <c r="DL167" s="177"/>
      <c r="DM167" s="177"/>
      <c r="DN167" s="177"/>
      <c r="DO167" s="177"/>
      <c r="DP167" s="177"/>
      <c r="DQ167" s="172"/>
      <c r="DR167" s="172"/>
      <c r="DS167" s="172"/>
      <c r="DT167" s="172"/>
      <c r="DU167" s="172"/>
      <c r="DV167" s="196"/>
    </row>
    <row r="168" spans="1:126" x14ac:dyDescent="0.2">
      <c r="A168" s="143" t="s">
        <v>531</v>
      </c>
      <c r="AJ168" s="133"/>
      <c r="AK168" s="133"/>
      <c r="AL168" s="183"/>
      <c r="AM168" s="183"/>
      <c r="AN168" s="183"/>
      <c r="AO168" s="183"/>
      <c r="AP168" s="183"/>
      <c r="AQ168" s="183"/>
      <c r="AR168" s="183"/>
      <c r="AS168" s="183"/>
      <c r="AT168" s="183"/>
      <c r="AU168" s="183"/>
      <c r="AV168" s="183"/>
      <c r="AW168" s="183"/>
      <c r="AX168" s="183"/>
      <c r="AY168" s="183"/>
      <c r="AZ168" s="183"/>
      <c r="BA168" s="183"/>
      <c r="BB168" s="183"/>
      <c r="BC168" s="183"/>
      <c r="BD168" s="183"/>
      <c r="BE168" s="183"/>
      <c r="BF168" s="133"/>
      <c r="CG168" s="179"/>
      <c r="CH168" s="169"/>
      <c r="CI168" s="177"/>
      <c r="CJ168" s="177"/>
      <c r="CK168" s="177"/>
      <c r="CL168" s="177"/>
      <c r="CM168" s="177"/>
      <c r="CN168" s="177"/>
      <c r="CO168" s="177"/>
      <c r="CP168" s="177"/>
      <c r="CQ168" s="177"/>
      <c r="CR168" s="177"/>
      <c r="CS168" s="177"/>
      <c r="CT168" s="177"/>
      <c r="CU168" s="177"/>
      <c r="CV168" s="172"/>
      <c r="CW168" s="172"/>
      <c r="CX168" s="172"/>
      <c r="CY168" s="172"/>
      <c r="CZ168" s="172"/>
      <c r="DA168" s="196"/>
      <c r="DC168" s="169"/>
      <c r="DD168" s="177"/>
      <c r="DE168" s="177"/>
      <c r="DF168" s="177"/>
      <c r="DG168" s="177"/>
      <c r="DH168" s="177"/>
      <c r="DI168" s="177"/>
      <c r="DJ168" s="177"/>
      <c r="DK168" s="177"/>
      <c r="DL168" s="177"/>
      <c r="DM168" s="177"/>
      <c r="DN168" s="177"/>
      <c r="DO168" s="177"/>
      <c r="DP168" s="177"/>
      <c r="DQ168" s="172"/>
      <c r="DR168" s="172"/>
      <c r="DS168" s="172"/>
      <c r="DT168" s="172"/>
      <c r="DU168" s="172"/>
      <c r="DV168" s="196"/>
    </row>
    <row r="169" spans="1:126" x14ac:dyDescent="0.2">
      <c r="A169" s="143" t="s">
        <v>532</v>
      </c>
      <c r="AJ169" s="133"/>
      <c r="AK169" s="133"/>
      <c r="AL169" s="183"/>
      <c r="AM169" s="183"/>
      <c r="AN169" s="183"/>
      <c r="AO169" s="183"/>
      <c r="AP169" s="183"/>
      <c r="AQ169" s="183"/>
      <c r="AR169" s="183"/>
      <c r="AS169" s="183"/>
      <c r="AT169" s="183"/>
      <c r="AU169" s="183"/>
      <c r="AV169" s="183"/>
      <c r="AW169" s="183"/>
      <c r="AX169" s="183"/>
      <c r="AY169" s="183"/>
      <c r="AZ169" s="183"/>
      <c r="BA169" s="183"/>
      <c r="BB169" s="183"/>
      <c r="BC169" s="183"/>
      <c r="BD169" s="183"/>
      <c r="BE169" s="183"/>
      <c r="BF169" s="133"/>
      <c r="CG169" s="179"/>
      <c r="CH169" s="169"/>
      <c r="CI169" s="177"/>
      <c r="CJ169" s="177"/>
      <c r="CK169" s="177"/>
      <c r="CL169" s="177"/>
      <c r="CM169" s="177"/>
      <c r="CN169" s="177"/>
      <c r="CO169" s="177"/>
      <c r="CP169" s="177"/>
      <c r="CQ169" s="177"/>
      <c r="CR169" s="177"/>
      <c r="CS169" s="177"/>
      <c r="CT169" s="177"/>
      <c r="CU169" s="177"/>
      <c r="CV169" s="172"/>
      <c r="CW169" s="172"/>
      <c r="CX169" s="172"/>
      <c r="CY169" s="172"/>
      <c r="CZ169" s="172"/>
      <c r="DA169" s="196"/>
      <c r="DC169" s="169"/>
      <c r="DD169" s="177"/>
      <c r="DE169" s="177"/>
      <c r="DF169" s="177"/>
      <c r="DG169" s="177"/>
      <c r="DH169" s="177"/>
      <c r="DI169" s="177"/>
      <c r="DJ169" s="177"/>
      <c r="DK169" s="177"/>
      <c r="DL169" s="177"/>
      <c r="DM169" s="177"/>
      <c r="DN169" s="177"/>
      <c r="DO169" s="177"/>
      <c r="DP169" s="177"/>
      <c r="DQ169" s="172"/>
      <c r="DR169" s="172"/>
      <c r="DS169" s="172"/>
      <c r="DT169" s="172"/>
      <c r="DU169" s="172"/>
      <c r="DV169" s="196"/>
    </row>
    <row r="170" spans="1:126" x14ac:dyDescent="0.2">
      <c r="A170" s="143" t="s">
        <v>533</v>
      </c>
      <c r="AJ170" s="133"/>
      <c r="AK170" s="133"/>
      <c r="AL170" s="183"/>
      <c r="AM170" s="183"/>
      <c r="AN170" s="183"/>
      <c r="AO170" s="183"/>
      <c r="AP170" s="183"/>
      <c r="AQ170" s="183"/>
      <c r="AR170" s="183"/>
      <c r="AS170" s="183"/>
      <c r="AT170" s="183"/>
      <c r="AU170" s="183"/>
      <c r="AV170" s="183"/>
      <c r="AW170" s="183"/>
      <c r="AX170" s="183"/>
      <c r="AY170" s="183"/>
      <c r="AZ170" s="183"/>
      <c r="BA170" s="183"/>
      <c r="BB170" s="183"/>
      <c r="BC170" s="183"/>
      <c r="BD170" s="183"/>
      <c r="BE170" s="183"/>
      <c r="BF170" s="133"/>
      <c r="CG170" s="179"/>
      <c r="CH170" s="169"/>
      <c r="CI170" s="177"/>
      <c r="CJ170" s="177"/>
      <c r="CK170" s="177"/>
      <c r="CL170" s="177"/>
      <c r="CM170" s="177"/>
      <c r="CN170" s="177"/>
      <c r="CO170" s="177"/>
      <c r="CP170" s="177"/>
      <c r="CQ170" s="177"/>
      <c r="CR170" s="177"/>
      <c r="CS170" s="177"/>
      <c r="CT170" s="177"/>
      <c r="CU170" s="177"/>
      <c r="CV170" s="172"/>
      <c r="CW170" s="172"/>
      <c r="CX170" s="172"/>
      <c r="CY170" s="172"/>
      <c r="CZ170" s="172"/>
      <c r="DA170" s="196"/>
      <c r="DC170" s="169"/>
      <c r="DD170" s="177"/>
      <c r="DE170" s="177"/>
      <c r="DF170" s="177"/>
      <c r="DG170" s="177"/>
      <c r="DH170" s="177"/>
      <c r="DI170" s="177"/>
      <c r="DJ170" s="177"/>
      <c r="DK170" s="177"/>
      <c r="DL170" s="177"/>
      <c r="DM170" s="177"/>
      <c r="DN170" s="177"/>
      <c r="DO170" s="177"/>
      <c r="DP170" s="177"/>
      <c r="DQ170" s="172"/>
      <c r="DR170" s="172"/>
      <c r="DS170" s="172"/>
      <c r="DT170" s="172"/>
      <c r="DU170" s="172"/>
      <c r="DV170" s="196"/>
    </row>
    <row r="171" spans="1:126" x14ac:dyDescent="0.2">
      <c r="A171" s="143" t="s">
        <v>534</v>
      </c>
      <c r="AJ171" s="133"/>
      <c r="AK171" s="133"/>
      <c r="AL171" s="183"/>
      <c r="AM171" s="183"/>
      <c r="AN171" s="183"/>
      <c r="AO171" s="183"/>
      <c r="AP171" s="183"/>
      <c r="AQ171" s="183"/>
      <c r="AR171" s="183"/>
      <c r="AS171" s="183"/>
      <c r="AT171" s="183"/>
      <c r="AU171" s="183"/>
      <c r="AV171" s="183"/>
      <c r="AW171" s="183"/>
      <c r="AX171" s="183"/>
      <c r="AY171" s="183"/>
      <c r="AZ171" s="183"/>
      <c r="BA171" s="183"/>
      <c r="BB171" s="183"/>
      <c r="BC171" s="183"/>
      <c r="BD171" s="183"/>
      <c r="BE171" s="183"/>
      <c r="BF171" s="133"/>
      <c r="CG171" s="179"/>
      <c r="CH171" s="169"/>
      <c r="CI171" s="177"/>
      <c r="CJ171" s="177"/>
      <c r="CK171" s="177"/>
      <c r="CL171" s="177"/>
      <c r="CM171" s="177"/>
      <c r="CN171" s="177"/>
      <c r="CO171" s="177"/>
      <c r="CP171" s="177"/>
      <c r="CQ171" s="177"/>
      <c r="CR171" s="177"/>
      <c r="CS171" s="177"/>
      <c r="CT171" s="177"/>
      <c r="CU171" s="177"/>
      <c r="CV171" s="172"/>
      <c r="CW171" s="172"/>
      <c r="CX171" s="172"/>
      <c r="CY171" s="172"/>
      <c r="CZ171" s="172"/>
      <c r="DA171" s="196"/>
      <c r="DC171" s="169"/>
      <c r="DD171" s="177"/>
      <c r="DE171" s="177"/>
      <c r="DF171" s="177"/>
      <c r="DG171" s="177"/>
      <c r="DH171" s="177"/>
      <c r="DI171" s="177"/>
      <c r="DJ171" s="177"/>
      <c r="DK171" s="177"/>
      <c r="DL171" s="177"/>
      <c r="DM171" s="177"/>
      <c r="DN171" s="177"/>
      <c r="DO171" s="177"/>
      <c r="DP171" s="177"/>
      <c r="DQ171" s="172"/>
      <c r="DR171" s="172"/>
      <c r="DS171" s="172"/>
      <c r="DT171" s="172"/>
      <c r="DU171" s="172"/>
      <c r="DV171" s="196"/>
    </row>
    <row r="172" spans="1:126" x14ac:dyDescent="0.2">
      <c r="A172" s="143" t="s">
        <v>535</v>
      </c>
      <c r="AJ172" s="133"/>
      <c r="AK172" s="133"/>
      <c r="AL172" s="183"/>
      <c r="AM172" s="183"/>
      <c r="AN172" s="183"/>
      <c r="AO172" s="183"/>
      <c r="AP172" s="183"/>
      <c r="AQ172" s="183"/>
      <c r="AR172" s="183"/>
      <c r="AS172" s="183"/>
      <c r="AT172" s="183"/>
      <c r="AU172" s="183"/>
      <c r="AV172" s="183"/>
      <c r="AW172" s="183"/>
      <c r="AX172" s="183"/>
      <c r="AY172" s="183"/>
      <c r="AZ172" s="183"/>
      <c r="BA172" s="183"/>
      <c r="BB172" s="183"/>
      <c r="BC172" s="183"/>
      <c r="BD172" s="183"/>
      <c r="BE172" s="183"/>
      <c r="BF172" s="133"/>
      <c r="CG172" s="179"/>
      <c r="CH172" s="169"/>
      <c r="CI172" s="177"/>
      <c r="CJ172" s="177"/>
      <c r="CK172" s="177"/>
      <c r="CL172" s="177"/>
      <c r="CM172" s="177"/>
      <c r="CN172" s="177"/>
      <c r="CO172" s="177"/>
      <c r="CP172" s="177"/>
      <c r="CQ172" s="177"/>
      <c r="CR172" s="177"/>
      <c r="CS172" s="177"/>
      <c r="CT172" s="177"/>
      <c r="CU172" s="177"/>
      <c r="CV172" s="172"/>
      <c r="CW172" s="172"/>
      <c r="CX172" s="172"/>
      <c r="CY172" s="172"/>
      <c r="CZ172" s="172"/>
      <c r="DA172" s="196"/>
      <c r="DC172" s="169"/>
      <c r="DD172" s="177"/>
      <c r="DE172" s="177"/>
      <c r="DF172" s="177"/>
      <c r="DG172" s="177"/>
      <c r="DH172" s="177"/>
      <c r="DI172" s="177"/>
      <c r="DJ172" s="177"/>
      <c r="DK172" s="177"/>
      <c r="DL172" s="177"/>
      <c r="DM172" s="177"/>
      <c r="DN172" s="177"/>
      <c r="DO172" s="177"/>
      <c r="DP172" s="177"/>
      <c r="DQ172" s="172"/>
      <c r="DR172" s="172"/>
      <c r="DS172" s="172"/>
      <c r="DT172" s="172"/>
      <c r="DU172" s="172"/>
      <c r="DV172" s="196"/>
    </row>
    <row r="173" spans="1:126" x14ac:dyDescent="0.2">
      <c r="A173" s="143" t="s">
        <v>536</v>
      </c>
      <c r="AJ173" s="133"/>
      <c r="AK173" s="133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33"/>
      <c r="CG173" s="179"/>
      <c r="CH173" s="197"/>
      <c r="CI173" s="180"/>
      <c r="CJ173" s="180"/>
      <c r="CK173" s="180"/>
      <c r="CL173" s="180"/>
      <c r="CM173" s="180"/>
      <c r="CN173" s="180"/>
      <c r="CO173" s="180"/>
      <c r="CP173" s="180"/>
      <c r="CQ173" s="180"/>
      <c r="CR173" s="180"/>
      <c r="CS173" s="180"/>
      <c r="CT173" s="180"/>
      <c r="CU173" s="180"/>
      <c r="CV173" s="173"/>
      <c r="CW173" s="173"/>
      <c r="CX173" s="173"/>
      <c r="CY173" s="173"/>
      <c r="CZ173" s="173"/>
      <c r="DA173" s="198"/>
      <c r="DC173" s="197"/>
      <c r="DD173" s="180"/>
      <c r="DE173" s="180"/>
      <c r="DF173" s="180"/>
      <c r="DG173" s="180"/>
      <c r="DH173" s="180"/>
      <c r="DI173" s="180"/>
      <c r="DJ173" s="180"/>
      <c r="DK173" s="180"/>
      <c r="DL173" s="180"/>
      <c r="DM173" s="180"/>
      <c r="DN173" s="180"/>
      <c r="DO173" s="180"/>
      <c r="DP173" s="180"/>
      <c r="DQ173" s="173"/>
      <c r="DR173" s="173"/>
      <c r="DS173" s="173"/>
      <c r="DT173" s="173"/>
      <c r="DU173" s="173"/>
      <c r="DV173" s="198"/>
    </row>
    <row r="174" spans="1:126" x14ac:dyDescent="0.2">
      <c r="A174" s="143" t="s">
        <v>537</v>
      </c>
      <c r="AJ174" s="133"/>
      <c r="AK174" s="133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33"/>
      <c r="CG174" s="179"/>
      <c r="CH174" s="197"/>
      <c r="CI174" s="180"/>
      <c r="CJ174" s="180"/>
      <c r="CK174" s="180"/>
      <c r="CL174" s="180"/>
      <c r="CM174" s="180"/>
      <c r="CN174" s="180"/>
      <c r="CO174" s="180"/>
      <c r="CP174" s="180"/>
      <c r="CQ174" s="180"/>
      <c r="CR174" s="180"/>
      <c r="CS174" s="180"/>
      <c r="CT174" s="180"/>
      <c r="CU174" s="180"/>
      <c r="CV174" s="173"/>
      <c r="CW174" s="173"/>
      <c r="CX174" s="173"/>
      <c r="CY174" s="173"/>
      <c r="CZ174" s="173"/>
      <c r="DA174" s="198"/>
      <c r="DC174" s="197"/>
      <c r="DD174" s="180"/>
      <c r="DE174" s="180"/>
      <c r="DF174" s="180"/>
      <c r="DG174" s="180"/>
      <c r="DH174" s="180"/>
      <c r="DI174" s="180"/>
      <c r="DJ174" s="180"/>
      <c r="DK174" s="180"/>
      <c r="DL174" s="180"/>
      <c r="DM174" s="180"/>
      <c r="DN174" s="180"/>
      <c r="DO174" s="180"/>
      <c r="DP174" s="180"/>
      <c r="DQ174" s="173"/>
      <c r="DR174" s="173"/>
      <c r="DS174" s="173"/>
      <c r="DT174" s="173"/>
      <c r="DU174" s="173"/>
      <c r="DV174" s="198"/>
    </row>
    <row r="175" spans="1:126" x14ac:dyDescent="0.2">
      <c r="A175" s="143" t="s">
        <v>538</v>
      </c>
      <c r="AJ175" s="133"/>
      <c r="AK175" s="133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33"/>
      <c r="CG175" s="179"/>
      <c r="CH175" s="197"/>
      <c r="CI175" s="180"/>
      <c r="CJ175" s="180"/>
      <c r="CK175" s="180"/>
      <c r="CL175" s="180"/>
      <c r="CM175" s="180"/>
      <c r="CN175" s="180"/>
      <c r="CO175" s="180"/>
      <c r="CP175" s="180"/>
      <c r="CQ175" s="180"/>
      <c r="CR175" s="180"/>
      <c r="CS175" s="180"/>
      <c r="CT175" s="180"/>
      <c r="CU175" s="180"/>
      <c r="CV175" s="173"/>
      <c r="CW175" s="173"/>
      <c r="CX175" s="173"/>
      <c r="CY175" s="173"/>
      <c r="CZ175" s="173"/>
      <c r="DA175" s="198"/>
      <c r="DC175" s="197"/>
      <c r="DD175" s="180"/>
      <c r="DE175" s="180"/>
      <c r="DF175" s="180"/>
      <c r="DG175" s="180"/>
      <c r="DH175" s="180"/>
      <c r="DI175" s="180"/>
      <c r="DJ175" s="180"/>
      <c r="DK175" s="180"/>
      <c r="DL175" s="180"/>
      <c r="DM175" s="180"/>
      <c r="DN175" s="180"/>
      <c r="DO175" s="180"/>
      <c r="DP175" s="180"/>
      <c r="DQ175" s="173"/>
      <c r="DR175" s="173"/>
      <c r="DS175" s="173"/>
      <c r="DT175" s="173"/>
      <c r="DU175" s="173"/>
      <c r="DV175" s="198"/>
    </row>
    <row r="176" spans="1:126" x14ac:dyDescent="0.2">
      <c r="A176" s="143" t="s">
        <v>539</v>
      </c>
      <c r="AJ176" s="133"/>
      <c r="AK176" s="133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33"/>
      <c r="CG176" s="179"/>
      <c r="CH176" s="197"/>
      <c r="CI176" s="180"/>
      <c r="CJ176" s="180"/>
      <c r="CK176" s="180"/>
      <c r="CL176" s="180"/>
      <c r="CM176" s="180"/>
      <c r="CN176" s="180"/>
      <c r="CO176" s="180"/>
      <c r="CP176" s="180"/>
      <c r="CQ176" s="180"/>
      <c r="CR176" s="180"/>
      <c r="CS176" s="180"/>
      <c r="CT176" s="180"/>
      <c r="CU176" s="180"/>
      <c r="CV176" s="173"/>
      <c r="CW176" s="173"/>
      <c r="CX176" s="173"/>
      <c r="CY176" s="173"/>
      <c r="CZ176" s="173"/>
      <c r="DA176" s="198"/>
      <c r="DC176" s="197"/>
      <c r="DD176" s="180"/>
      <c r="DE176" s="180"/>
      <c r="DF176" s="180"/>
      <c r="DG176" s="180"/>
      <c r="DH176" s="180"/>
      <c r="DI176" s="180"/>
      <c r="DJ176" s="180"/>
      <c r="DK176" s="180"/>
      <c r="DL176" s="180"/>
      <c r="DM176" s="180"/>
      <c r="DN176" s="180"/>
      <c r="DO176" s="180"/>
      <c r="DP176" s="180"/>
      <c r="DQ176" s="173"/>
      <c r="DR176" s="173"/>
      <c r="DS176" s="173"/>
      <c r="DT176" s="173"/>
      <c r="DU176" s="173"/>
      <c r="DV176" s="198"/>
    </row>
    <row r="177" spans="1:126" x14ac:dyDescent="0.2">
      <c r="A177" s="144" t="s">
        <v>540</v>
      </c>
      <c r="AJ177" s="133"/>
      <c r="AK177" s="133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33"/>
      <c r="CG177" s="179"/>
      <c r="CH177" s="197"/>
      <c r="CI177" s="180"/>
      <c r="CJ177" s="180"/>
      <c r="CK177" s="180"/>
      <c r="CL177" s="180"/>
      <c r="CM177" s="180"/>
      <c r="CN177" s="180"/>
      <c r="CO177" s="180"/>
      <c r="CP177" s="180"/>
      <c r="CQ177" s="180"/>
      <c r="CR177" s="180"/>
      <c r="CS177" s="180"/>
      <c r="CT177" s="180"/>
      <c r="CU177" s="180"/>
      <c r="CV177" s="173"/>
      <c r="CW177" s="173"/>
      <c r="CX177" s="173"/>
      <c r="CY177" s="173"/>
      <c r="CZ177" s="173"/>
      <c r="DA177" s="198"/>
      <c r="DC177" s="197"/>
      <c r="DD177" s="180"/>
      <c r="DE177" s="180"/>
      <c r="DF177" s="180"/>
      <c r="DG177" s="180"/>
      <c r="DH177" s="180"/>
      <c r="DI177" s="180"/>
      <c r="DJ177" s="180"/>
      <c r="DK177" s="180"/>
      <c r="DL177" s="180"/>
      <c r="DM177" s="180"/>
      <c r="DN177" s="180"/>
      <c r="DO177" s="180"/>
      <c r="DP177" s="180"/>
      <c r="DQ177" s="173"/>
      <c r="DR177" s="173"/>
      <c r="DS177" s="173"/>
      <c r="DT177" s="173"/>
      <c r="DU177" s="173"/>
      <c r="DV177" s="198"/>
    </row>
    <row r="178" spans="1:126" x14ac:dyDescent="0.2">
      <c r="A178" s="142" t="s">
        <v>541</v>
      </c>
      <c r="AJ178" s="133"/>
      <c r="AK178" s="133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33"/>
      <c r="CG178" s="176"/>
      <c r="CH178" s="197"/>
      <c r="CI178" s="180"/>
      <c r="CJ178" s="180"/>
      <c r="CK178" s="180"/>
      <c r="CL178" s="180"/>
      <c r="CM178" s="180"/>
      <c r="CN178" s="180"/>
      <c r="CO178" s="180"/>
      <c r="CP178" s="180"/>
      <c r="CQ178" s="180"/>
      <c r="CR178" s="180"/>
      <c r="CS178" s="180"/>
      <c r="CT178" s="180"/>
      <c r="CU178" s="180"/>
      <c r="CV178" s="173"/>
      <c r="CW178" s="173"/>
      <c r="CX178" s="173"/>
      <c r="CY178" s="173"/>
      <c r="CZ178" s="173"/>
      <c r="DA178" s="198"/>
      <c r="DC178" s="197"/>
      <c r="DD178" s="180"/>
      <c r="DE178" s="180"/>
      <c r="DF178" s="180"/>
      <c r="DG178" s="180"/>
      <c r="DH178" s="180"/>
      <c r="DI178" s="180"/>
      <c r="DJ178" s="180"/>
      <c r="DK178" s="180"/>
      <c r="DL178" s="180"/>
      <c r="DM178" s="180"/>
      <c r="DN178" s="180"/>
      <c r="DO178" s="180"/>
      <c r="DP178" s="180"/>
      <c r="DQ178" s="173"/>
      <c r="DR178" s="173"/>
      <c r="DS178" s="173"/>
      <c r="DT178" s="173"/>
      <c r="DU178" s="173"/>
      <c r="DV178" s="198"/>
    </row>
    <row r="179" spans="1:126" x14ac:dyDescent="0.2">
      <c r="A179" s="143" t="s">
        <v>542</v>
      </c>
      <c r="AJ179" s="133"/>
      <c r="AK179" s="133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33"/>
      <c r="CG179" s="176"/>
      <c r="CH179" s="197"/>
      <c r="CI179" s="180"/>
      <c r="CJ179" s="180"/>
      <c r="CK179" s="180"/>
      <c r="CL179" s="180"/>
      <c r="CM179" s="180"/>
      <c r="CN179" s="180"/>
      <c r="CO179" s="180"/>
      <c r="CP179" s="180"/>
      <c r="CQ179" s="180"/>
      <c r="CR179" s="180"/>
      <c r="CS179" s="180"/>
      <c r="CT179" s="180"/>
      <c r="CU179" s="180"/>
      <c r="CV179" s="173"/>
      <c r="CW179" s="173"/>
      <c r="CX179" s="173"/>
      <c r="CY179" s="173"/>
      <c r="CZ179" s="173"/>
      <c r="DA179" s="198"/>
      <c r="DC179" s="197"/>
      <c r="DD179" s="180"/>
      <c r="DE179" s="180"/>
      <c r="DF179" s="180"/>
      <c r="DG179" s="180"/>
      <c r="DH179" s="180"/>
      <c r="DI179" s="180"/>
      <c r="DJ179" s="180"/>
      <c r="DK179" s="180"/>
      <c r="DL179" s="180"/>
      <c r="DM179" s="180"/>
      <c r="DN179" s="180"/>
      <c r="DO179" s="180"/>
      <c r="DP179" s="180"/>
      <c r="DQ179" s="173"/>
      <c r="DR179" s="173"/>
      <c r="DS179" s="173"/>
      <c r="DT179" s="173"/>
      <c r="DU179" s="173"/>
      <c r="DV179" s="198"/>
    </row>
    <row r="180" spans="1:126" x14ac:dyDescent="0.2">
      <c r="A180" s="143" t="s">
        <v>543</v>
      </c>
      <c r="AJ180" s="133"/>
      <c r="AK180" s="133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33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33"/>
      <c r="CG180" s="176"/>
      <c r="CH180" s="199"/>
      <c r="CI180" s="200"/>
      <c r="CJ180" s="200"/>
      <c r="CK180" s="200"/>
      <c r="CL180" s="200"/>
      <c r="CM180" s="200"/>
      <c r="CN180" s="200"/>
      <c r="CO180" s="200"/>
      <c r="CP180" s="200"/>
      <c r="CQ180" s="201"/>
      <c r="CR180" s="202"/>
      <c r="CS180" s="200"/>
      <c r="CT180" s="200"/>
      <c r="CU180" s="200"/>
      <c r="CV180" s="203"/>
      <c r="CW180" s="203"/>
      <c r="CX180" s="203"/>
      <c r="CY180" s="203"/>
      <c r="CZ180" s="203"/>
      <c r="DA180" s="204"/>
      <c r="DC180" s="199"/>
      <c r="DD180" s="200"/>
      <c r="DE180" s="200"/>
      <c r="DF180" s="200"/>
      <c r="DG180" s="200"/>
      <c r="DH180" s="200"/>
      <c r="DI180" s="200"/>
      <c r="DJ180" s="200"/>
      <c r="DK180" s="200"/>
      <c r="DL180" s="200"/>
      <c r="DM180" s="200"/>
      <c r="DN180" s="200"/>
      <c r="DO180" s="200"/>
      <c r="DP180" s="200"/>
      <c r="DQ180" s="203"/>
      <c r="DR180" s="203"/>
      <c r="DS180" s="203"/>
      <c r="DT180" s="203"/>
      <c r="DU180" s="203"/>
      <c r="DV180" s="204"/>
    </row>
    <row r="181" spans="1:126" x14ac:dyDescent="0.2">
      <c r="A181" s="143" t="s">
        <v>544</v>
      </c>
      <c r="AJ181" s="133"/>
      <c r="AK181" s="133"/>
      <c r="AL181" s="183"/>
      <c r="AM181" s="183"/>
      <c r="AN181" s="183"/>
      <c r="AO181" s="183"/>
      <c r="AP181" s="183"/>
      <c r="AQ181" s="183"/>
      <c r="AR181" s="183"/>
      <c r="AS181" s="183"/>
      <c r="AT181" s="183"/>
      <c r="AU181" s="183"/>
      <c r="AV181" s="183"/>
      <c r="AW181" s="183"/>
      <c r="AX181" s="183"/>
      <c r="AY181" s="183"/>
      <c r="AZ181" s="183"/>
      <c r="BA181" s="183"/>
      <c r="BB181" s="183"/>
      <c r="BC181" s="183"/>
      <c r="BD181" s="183"/>
      <c r="BE181" s="183"/>
      <c r="BF181" s="133"/>
      <c r="CG181" s="176">
        <v>10</v>
      </c>
      <c r="CH181" s="192"/>
      <c r="CI181" s="193"/>
      <c r="CJ181" s="193"/>
      <c r="CK181" s="193"/>
      <c r="CL181" s="193"/>
      <c r="CM181" s="193"/>
      <c r="CN181" s="193"/>
      <c r="CO181" s="193"/>
      <c r="CP181" s="193"/>
      <c r="CQ181" s="193"/>
      <c r="CR181" s="193"/>
      <c r="CS181" s="193"/>
      <c r="CT181" s="193"/>
      <c r="CU181" s="193"/>
      <c r="CV181" s="194"/>
      <c r="CW181" s="194"/>
      <c r="CX181" s="194"/>
      <c r="CY181" s="194"/>
      <c r="CZ181" s="194"/>
      <c r="DA181" s="195"/>
      <c r="DC181" s="192"/>
      <c r="DD181" s="193"/>
      <c r="DE181" s="193"/>
      <c r="DF181" s="193"/>
      <c r="DG181" s="193"/>
      <c r="DH181" s="193"/>
      <c r="DI181" s="193"/>
      <c r="DJ181" s="193"/>
      <c r="DK181" s="193"/>
      <c r="DL181" s="193"/>
      <c r="DM181" s="193"/>
      <c r="DN181" s="193"/>
      <c r="DO181" s="193"/>
      <c r="DP181" s="193"/>
      <c r="DQ181" s="194"/>
      <c r="DR181" s="194"/>
      <c r="DS181" s="194"/>
      <c r="DT181" s="194"/>
      <c r="DU181" s="194"/>
      <c r="DV181" s="195"/>
    </row>
    <row r="182" spans="1:126" x14ac:dyDescent="0.2">
      <c r="A182" s="143" t="s">
        <v>545</v>
      </c>
      <c r="AJ182" s="133"/>
      <c r="AK182" s="133"/>
      <c r="AL182" s="183"/>
      <c r="AM182" s="183"/>
      <c r="AN182" s="183"/>
      <c r="AO182" s="183"/>
      <c r="AP182" s="183"/>
      <c r="AQ182" s="183"/>
      <c r="AR182" s="183"/>
      <c r="AS182" s="183"/>
      <c r="AT182" s="183"/>
      <c r="AU182" s="183"/>
      <c r="AV182" s="183"/>
      <c r="AW182" s="183"/>
      <c r="AX182" s="183"/>
      <c r="AY182" s="183"/>
      <c r="AZ182" s="183"/>
      <c r="BA182" s="183"/>
      <c r="BB182" s="183"/>
      <c r="BC182" s="183"/>
      <c r="BD182" s="183"/>
      <c r="BE182" s="183"/>
      <c r="BF182" s="133"/>
      <c r="CG182" s="176"/>
      <c r="CH182" s="169"/>
      <c r="CI182" s="177"/>
      <c r="CJ182" s="177"/>
      <c r="CK182" s="177"/>
      <c r="CL182" s="177"/>
      <c r="CM182" s="177"/>
      <c r="CN182" s="177"/>
      <c r="CO182" s="177"/>
      <c r="CP182" s="177"/>
      <c r="CQ182" s="177"/>
      <c r="CR182" s="177"/>
      <c r="CS182" s="177"/>
      <c r="CT182" s="177"/>
      <c r="CU182" s="177"/>
      <c r="CV182" s="172"/>
      <c r="CW182" s="172"/>
      <c r="CX182" s="172"/>
      <c r="CY182" s="172"/>
      <c r="CZ182" s="172"/>
      <c r="DA182" s="196"/>
      <c r="DC182" s="169"/>
      <c r="DD182" s="177"/>
      <c r="DE182" s="177"/>
      <c r="DF182" s="177"/>
      <c r="DG182" s="177"/>
      <c r="DH182" s="177"/>
      <c r="DI182" s="177"/>
      <c r="DJ182" s="177"/>
      <c r="DK182" s="177"/>
      <c r="DL182" s="177"/>
      <c r="DM182" s="177"/>
      <c r="DN182" s="177"/>
      <c r="DO182" s="177"/>
      <c r="DP182" s="177"/>
      <c r="DQ182" s="172"/>
      <c r="DR182" s="172"/>
      <c r="DS182" s="172"/>
      <c r="DT182" s="172"/>
      <c r="DU182" s="172"/>
      <c r="DV182" s="196"/>
    </row>
    <row r="183" spans="1:126" x14ac:dyDescent="0.2">
      <c r="A183" s="143" t="s">
        <v>546</v>
      </c>
      <c r="AJ183" s="133"/>
      <c r="AK183" s="133"/>
      <c r="AL183" s="183"/>
      <c r="AM183" s="183"/>
      <c r="AN183" s="183"/>
      <c r="AO183" s="183"/>
      <c r="AP183" s="183"/>
      <c r="AQ183" s="183"/>
      <c r="AR183" s="183"/>
      <c r="AS183" s="183"/>
      <c r="AT183" s="183"/>
      <c r="AU183" s="183"/>
      <c r="AV183" s="183"/>
      <c r="AW183" s="183"/>
      <c r="AX183" s="183"/>
      <c r="AY183" s="183"/>
      <c r="AZ183" s="183"/>
      <c r="BA183" s="183"/>
      <c r="BB183" s="183"/>
      <c r="BC183" s="183"/>
      <c r="BD183" s="183"/>
      <c r="BE183" s="183"/>
      <c r="BF183" s="133"/>
      <c r="CG183" s="131"/>
      <c r="CH183" s="169"/>
      <c r="CI183" s="177"/>
      <c r="CJ183" s="177"/>
      <c r="CK183" s="177"/>
      <c r="CL183" s="177"/>
      <c r="CM183" s="177"/>
      <c r="CN183" s="177"/>
      <c r="CO183" s="177"/>
      <c r="CP183" s="177"/>
      <c r="CQ183" s="177"/>
      <c r="CR183" s="177"/>
      <c r="CS183" s="177"/>
      <c r="CT183" s="177"/>
      <c r="CU183" s="177"/>
      <c r="CV183" s="172"/>
      <c r="CW183" s="172"/>
      <c r="CX183" s="172"/>
      <c r="CY183" s="172"/>
      <c r="CZ183" s="172"/>
      <c r="DA183" s="196"/>
      <c r="DC183" s="169"/>
      <c r="DD183" s="177"/>
      <c r="DE183" s="177"/>
      <c r="DF183" s="177"/>
      <c r="DG183" s="177"/>
      <c r="DH183" s="177"/>
      <c r="DI183" s="177"/>
      <c r="DJ183" s="177"/>
      <c r="DK183" s="177"/>
      <c r="DL183" s="177"/>
      <c r="DM183" s="177"/>
      <c r="DN183" s="177"/>
      <c r="DO183" s="177"/>
      <c r="DP183" s="177"/>
      <c r="DQ183" s="172"/>
      <c r="DR183" s="172"/>
      <c r="DS183" s="172"/>
      <c r="DT183" s="172"/>
      <c r="DU183" s="172"/>
      <c r="DV183" s="196"/>
    </row>
    <row r="184" spans="1:126" x14ac:dyDescent="0.2">
      <c r="A184" s="143" t="s">
        <v>547</v>
      </c>
      <c r="AJ184" s="133"/>
      <c r="AK184" s="133"/>
      <c r="AL184" s="183"/>
      <c r="AM184" s="183"/>
      <c r="AN184" s="183"/>
      <c r="AO184" s="183"/>
      <c r="AP184" s="183"/>
      <c r="AQ184" s="183"/>
      <c r="AR184" s="183"/>
      <c r="AS184" s="183"/>
      <c r="AT184" s="183"/>
      <c r="AU184" s="183"/>
      <c r="AV184" s="183"/>
      <c r="AW184" s="183"/>
      <c r="AX184" s="183"/>
      <c r="AY184" s="183"/>
      <c r="AZ184" s="183"/>
      <c r="BA184" s="183"/>
      <c r="BB184" s="183"/>
      <c r="BC184" s="183"/>
      <c r="BD184" s="183"/>
      <c r="BE184" s="183"/>
      <c r="BF184" s="133"/>
      <c r="CG184" s="176"/>
      <c r="CH184" s="169"/>
      <c r="CI184" s="177"/>
      <c r="CJ184" s="177"/>
      <c r="CK184" s="177"/>
      <c r="CL184" s="177"/>
      <c r="CM184" s="177"/>
      <c r="CN184" s="177"/>
      <c r="CO184" s="177"/>
      <c r="CP184" s="177"/>
      <c r="CQ184" s="177"/>
      <c r="CR184" s="177"/>
      <c r="CS184" s="177"/>
      <c r="CT184" s="177"/>
      <c r="CU184" s="177"/>
      <c r="CV184" s="172"/>
      <c r="CW184" s="172"/>
      <c r="CX184" s="172"/>
      <c r="CY184" s="172"/>
      <c r="CZ184" s="172"/>
      <c r="DA184" s="196"/>
      <c r="DC184" s="169"/>
      <c r="DD184" s="177"/>
      <c r="DE184" s="177"/>
      <c r="DF184" s="177"/>
      <c r="DG184" s="177"/>
      <c r="DH184" s="177"/>
      <c r="DI184" s="177"/>
      <c r="DJ184" s="177"/>
      <c r="DK184" s="177"/>
      <c r="DL184" s="177"/>
      <c r="DM184" s="177"/>
      <c r="DN184" s="177"/>
      <c r="DO184" s="177"/>
      <c r="DP184" s="177"/>
      <c r="DQ184" s="172"/>
      <c r="DR184" s="172"/>
      <c r="DS184" s="172"/>
      <c r="DT184" s="172"/>
      <c r="DU184" s="172"/>
      <c r="DV184" s="196"/>
    </row>
    <row r="185" spans="1:126" x14ac:dyDescent="0.2">
      <c r="A185" s="143" t="s">
        <v>548</v>
      </c>
      <c r="AJ185" s="133"/>
      <c r="AK185" s="133"/>
      <c r="AL185" s="183"/>
      <c r="AM185" s="183"/>
      <c r="AN185" s="183"/>
      <c r="AO185" s="183"/>
      <c r="AP185" s="183"/>
      <c r="AQ185" s="183"/>
      <c r="AR185" s="183"/>
      <c r="AS185" s="183"/>
      <c r="AT185" s="183"/>
      <c r="AU185" s="183"/>
      <c r="AV185" s="183"/>
      <c r="AW185" s="183"/>
      <c r="AX185" s="183"/>
      <c r="AY185" s="183"/>
      <c r="AZ185" s="183"/>
      <c r="BA185" s="183"/>
      <c r="BB185" s="183"/>
      <c r="BC185" s="183"/>
      <c r="BD185" s="183"/>
      <c r="BE185" s="183"/>
      <c r="BF185" s="133"/>
      <c r="CG185" s="178"/>
      <c r="CH185" s="169"/>
      <c r="CI185" s="177"/>
      <c r="CJ185" s="177"/>
      <c r="CK185" s="177"/>
      <c r="CL185" s="177"/>
      <c r="CM185" s="177"/>
      <c r="CN185" s="177"/>
      <c r="CO185" s="177"/>
      <c r="CP185" s="177"/>
      <c r="CQ185" s="177"/>
      <c r="CR185" s="177"/>
      <c r="CS185" s="177"/>
      <c r="CT185" s="177"/>
      <c r="CU185" s="177"/>
      <c r="CV185" s="172"/>
      <c r="CW185" s="172"/>
      <c r="CX185" s="172"/>
      <c r="CY185" s="172"/>
      <c r="CZ185" s="172"/>
      <c r="DA185" s="196"/>
      <c r="DC185" s="169"/>
      <c r="DD185" s="177"/>
      <c r="DE185" s="177"/>
      <c r="DF185" s="177"/>
      <c r="DG185" s="177"/>
      <c r="DH185" s="177"/>
      <c r="DI185" s="177"/>
      <c r="DJ185" s="177"/>
      <c r="DK185" s="177"/>
      <c r="DL185" s="177"/>
      <c r="DM185" s="177"/>
      <c r="DN185" s="177"/>
      <c r="DO185" s="177"/>
      <c r="DP185" s="177"/>
      <c r="DQ185" s="172"/>
      <c r="DR185" s="172"/>
      <c r="DS185" s="172"/>
      <c r="DT185" s="172"/>
      <c r="DU185" s="172"/>
      <c r="DV185" s="196"/>
    </row>
    <row r="186" spans="1:126" x14ac:dyDescent="0.2">
      <c r="A186" s="143" t="s">
        <v>549</v>
      </c>
      <c r="AJ186" s="133"/>
      <c r="AK186" s="133"/>
      <c r="AL186" s="183"/>
      <c r="AM186" s="183"/>
      <c r="AN186" s="183"/>
      <c r="AO186" s="183"/>
      <c r="AP186" s="183"/>
      <c r="AQ186" s="183"/>
      <c r="AR186" s="183"/>
      <c r="AS186" s="183"/>
      <c r="AT186" s="183"/>
      <c r="AU186" s="183"/>
      <c r="AV186" s="183"/>
      <c r="AW186" s="183"/>
      <c r="AX186" s="183"/>
      <c r="AY186" s="183"/>
      <c r="AZ186" s="183"/>
      <c r="BA186" s="183"/>
      <c r="BB186" s="183"/>
      <c r="BC186" s="183"/>
      <c r="BD186" s="183"/>
      <c r="BE186" s="183"/>
      <c r="BF186" s="133"/>
      <c r="CG186" s="179"/>
      <c r="CH186" s="169"/>
      <c r="CI186" s="177"/>
      <c r="CJ186" s="177"/>
      <c r="CK186" s="177"/>
      <c r="CL186" s="177"/>
      <c r="CM186" s="177"/>
      <c r="CN186" s="177"/>
      <c r="CO186" s="177"/>
      <c r="CP186" s="177"/>
      <c r="CQ186" s="177"/>
      <c r="CR186" s="177"/>
      <c r="CS186" s="177"/>
      <c r="CT186" s="177"/>
      <c r="CU186" s="177"/>
      <c r="CV186" s="172"/>
      <c r="CW186" s="172"/>
      <c r="CX186" s="172"/>
      <c r="CY186" s="172"/>
      <c r="CZ186" s="172"/>
      <c r="DA186" s="196"/>
      <c r="DC186" s="169"/>
      <c r="DD186" s="177"/>
      <c r="DE186" s="177"/>
      <c r="DF186" s="177"/>
      <c r="DG186" s="177"/>
      <c r="DH186" s="177"/>
      <c r="DI186" s="177"/>
      <c r="DJ186" s="177"/>
      <c r="DK186" s="177"/>
      <c r="DL186" s="177"/>
      <c r="DM186" s="177"/>
      <c r="DN186" s="177"/>
      <c r="DO186" s="177"/>
      <c r="DP186" s="177"/>
      <c r="DQ186" s="172"/>
      <c r="DR186" s="172"/>
      <c r="DS186" s="172"/>
      <c r="DT186" s="172"/>
      <c r="DU186" s="172"/>
      <c r="DV186" s="196"/>
    </row>
    <row r="187" spans="1:126" x14ac:dyDescent="0.2">
      <c r="A187" s="143" t="s">
        <v>550</v>
      </c>
      <c r="AJ187" s="133"/>
      <c r="AK187" s="133"/>
      <c r="AL187" s="183"/>
      <c r="AM187" s="183"/>
      <c r="AN187" s="183"/>
      <c r="AO187" s="183"/>
      <c r="AP187" s="183"/>
      <c r="AQ187" s="183"/>
      <c r="AR187" s="183"/>
      <c r="AS187" s="183"/>
      <c r="AT187" s="183"/>
      <c r="AU187" s="183"/>
      <c r="AV187" s="183"/>
      <c r="AW187" s="183"/>
      <c r="AX187" s="183"/>
      <c r="AY187" s="183"/>
      <c r="AZ187" s="183"/>
      <c r="BA187" s="183"/>
      <c r="BB187" s="183"/>
      <c r="BC187" s="183"/>
      <c r="BD187" s="183"/>
      <c r="BE187" s="183"/>
      <c r="BF187" s="133"/>
      <c r="CG187" s="179"/>
      <c r="CH187" s="169"/>
      <c r="CI187" s="177"/>
      <c r="CJ187" s="177"/>
      <c r="CK187" s="177"/>
      <c r="CL187" s="177"/>
      <c r="CM187" s="177"/>
      <c r="CN187" s="177"/>
      <c r="CO187" s="177"/>
      <c r="CP187" s="177"/>
      <c r="CQ187" s="177"/>
      <c r="CR187" s="177"/>
      <c r="CS187" s="177"/>
      <c r="CT187" s="177"/>
      <c r="CU187" s="177"/>
      <c r="CV187" s="172"/>
      <c r="CW187" s="172"/>
      <c r="CX187" s="172"/>
      <c r="CY187" s="172"/>
      <c r="CZ187" s="172"/>
      <c r="DA187" s="196"/>
      <c r="DC187" s="169"/>
      <c r="DD187" s="177"/>
      <c r="DE187" s="177"/>
      <c r="DF187" s="177"/>
      <c r="DG187" s="177"/>
      <c r="DH187" s="177"/>
      <c r="DI187" s="177"/>
      <c r="DJ187" s="177"/>
      <c r="DK187" s="177"/>
      <c r="DL187" s="177"/>
      <c r="DM187" s="177"/>
      <c r="DN187" s="177"/>
      <c r="DO187" s="177"/>
      <c r="DP187" s="177"/>
      <c r="DQ187" s="172"/>
      <c r="DR187" s="172"/>
      <c r="DS187" s="172"/>
      <c r="DT187" s="172"/>
      <c r="DU187" s="172"/>
      <c r="DV187" s="196"/>
    </row>
    <row r="188" spans="1:126" x14ac:dyDescent="0.2">
      <c r="A188" s="143" t="s">
        <v>551</v>
      </c>
      <c r="AJ188" s="133"/>
      <c r="AK188" s="133"/>
      <c r="AL188" s="183"/>
      <c r="AM188" s="183"/>
      <c r="AN188" s="183"/>
      <c r="AO188" s="183"/>
      <c r="AP188" s="183"/>
      <c r="AQ188" s="183"/>
      <c r="AR188" s="183"/>
      <c r="AS188" s="183"/>
      <c r="AT188" s="183"/>
      <c r="AU188" s="183"/>
      <c r="AV188" s="183"/>
      <c r="AW188" s="183"/>
      <c r="AX188" s="183"/>
      <c r="AY188" s="183"/>
      <c r="AZ188" s="183"/>
      <c r="BA188" s="183"/>
      <c r="BB188" s="183"/>
      <c r="BC188" s="183"/>
      <c r="BD188" s="183"/>
      <c r="BE188" s="183"/>
      <c r="BF188" s="133"/>
      <c r="CG188" s="179"/>
      <c r="CH188" s="169"/>
      <c r="CI188" s="177"/>
      <c r="CJ188" s="177"/>
      <c r="CK188" s="177"/>
      <c r="CL188" s="177"/>
      <c r="CM188" s="177"/>
      <c r="CN188" s="177"/>
      <c r="CO188" s="177"/>
      <c r="CP188" s="177"/>
      <c r="CQ188" s="177"/>
      <c r="CR188" s="177"/>
      <c r="CS188" s="177"/>
      <c r="CT188" s="177"/>
      <c r="CU188" s="177"/>
      <c r="CV188" s="172"/>
      <c r="CW188" s="172"/>
      <c r="CX188" s="172"/>
      <c r="CY188" s="172"/>
      <c r="CZ188" s="172"/>
      <c r="DA188" s="196"/>
      <c r="DC188" s="169"/>
      <c r="DD188" s="177"/>
      <c r="DE188" s="177"/>
      <c r="DF188" s="177"/>
      <c r="DG188" s="177"/>
      <c r="DH188" s="177"/>
      <c r="DI188" s="177"/>
      <c r="DJ188" s="177"/>
      <c r="DK188" s="177"/>
      <c r="DL188" s="177"/>
      <c r="DM188" s="177"/>
      <c r="DN188" s="177"/>
      <c r="DO188" s="177"/>
      <c r="DP188" s="177"/>
      <c r="DQ188" s="172"/>
      <c r="DR188" s="172"/>
      <c r="DS188" s="172"/>
      <c r="DT188" s="172"/>
      <c r="DU188" s="172"/>
      <c r="DV188" s="196"/>
    </row>
    <row r="189" spans="1:126" x14ac:dyDescent="0.2">
      <c r="A189" s="143" t="s">
        <v>552</v>
      </c>
      <c r="AJ189" s="133"/>
      <c r="AK189" s="133"/>
      <c r="AL189" s="183"/>
      <c r="AM189" s="183"/>
      <c r="AN189" s="183"/>
      <c r="AO189" s="183"/>
      <c r="AP189" s="183"/>
      <c r="AQ189" s="183"/>
      <c r="AR189" s="183"/>
      <c r="AS189" s="183"/>
      <c r="AT189" s="183"/>
      <c r="AU189" s="183"/>
      <c r="AV189" s="183"/>
      <c r="AW189" s="183"/>
      <c r="AX189" s="183"/>
      <c r="AY189" s="183"/>
      <c r="AZ189" s="183"/>
      <c r="BA189" s="183"/>
      <c r="BB189" s="183"/>
      <c r="BC189" s="183"/>
      <c r="BD189" s="183"/>
      <c r="BE189" s="183"/>
      <c r="BF189" s="133"/>
      <c r="CG189" s="179"/>
      <c r="CH189" s="169"/>
      <c r="CI189" s="177"/>
      <c r="CJ189" s="177"/>
      <c r="CK189" s="177"/>
      <c r="CL189" s="177"/>
      <c r="CM189" s="177"/>
      <c r="CN189" s="177"/>
      <c r="CO189" s="177"/>
      <c r="CP189" s="177"/>
      <c r="CQ189" s="177"/>
      <c r="CR189" s="177"/>
      <c r="CS189" s="177"/>
      <c r="CT189" s="177"/>
      <c r="CU189" s="177"/>
      <c r="CV189" s="172"/>
      <c r="CW189" s="172"/>
      <c r="CX189" s="172"/>
      <c r="CY189" s="172"/>
      <c r="CZ189" s="172"/>
      <c r="DA189" s="196"/>
      <c r="DC189" s="169"/>
      <c r="DD189" s="177"/>
      <c r="DE189" s="177"/>
      <c r="DF189" s="177"/>
      <c r="DG189" s="177"/>
      <c r="DH189" s="177"/>
      <c r="DI189" s="177"/>
      <c r="DJ189" s="177"/>
      <c r="DK189" s="177"/>
      <c r="DL189" s="177"/>
      <c r="DM189" s="177"/>
      <c r="DN189" s="177"/>
      <c r="DO189" s="177"/>
      <c r="DP189" s="177"/>
      <c r="DQ189" s="172"/>
      <c r="DR189" s="172"/>
      <c r="DS189" s="172"/>
      <c r="DT189" s="172"/>
      <c r="DU189" s="172"/>
      <c r="DV189" s="196"/>
    </row>
    <row r="190" spans="1:126" x14ac:dyDescent="0.2">
      <c r="A190" s="143" t="s">
        <v>553</v>
      </c>
      <c r="AJ190" s="133"/>
      <c r="AK190" s="133"/>
      <c r="AL190" s="183"/>
      <c r="AM190" s="183"/>
      <c r="AN190" s="183"/>
      <c r="AO190" s="183"/>
      <c r="AP190" s="183"/>
      <c r="AQ190" s="183"/>
      <c r="AR190" s="183"/>
      <c r="AS190" s="183"/>
      <c r="AT190" s="183"/>
      <c r="AU190" s="183"/>
      <c r="AV190" s="183"/>
      <c r="AW190" s="183"/>
      <c r="AX190" s="183"/>
      <c r="AY190" s="183"/>
      <c r="AZ190" s="183"/>
      <c r="BA190" s="183"/>
      <c r="BB190" s="183"/>
      <c r="BC190" s="183"/>
      <c r="BD190" s="183"/>
      <c r="BE190" s="183"/>
      <c r="BF190" s="133"/>
      <c r="CG190" s="179"/>
      <c r="CH190" s="169"/>
      <c r="CI190" s="177"/>
      <c r="CJ190" s="177"/>
      <c r="CK190" s="177"/>
      <c r="CL190" s="177"/>
      <c r="CM190" s="177"/>
      <c r="CN190" s="177"/>
      <c r="CO190" s="177"/>
      <c r="CP190" s="177"/>
      <c r="CQ190" s="177"/>
      <c r="CR190" s="177"/>
      <c r="CS190" s="177"/>
      <c r="CT190" s="177"/>
      <c r="CU190" s="177"/>
      <c r="CV190" s="172"/>
      <c r="CW190" s="172"/>
      <c r="CX190" s="172"/>
      <c r="CY190" s="172"/>
      <c r="CZ190" s="172"/>
      <c r="DA190" s="196"/>
      <c r="DC190" s="169"/>
      <c r="DD190" s="177"/>
      <c r="DE190" s="177"/>
      <c r="DF190" s="177"/>
      <c r="DG190" s="177"/>
      <c r="DH190" s="177"/>
      <c r="DI190" s="177"/>
      <c r="DJ190" s="177"/>
      <c r="DK190" s="177"/>
      <c r="DL190" s="177"/>
      <c r="DM190" s="177"/>
      <c r="DN190" s="177"/>
      <c r="DO190" s="177"/>
      <c r="DP190" s="177"/>
      <c r="DQ190" s="172"/>
      <c r="DR190" s="172"/>
      <c r="DS190" s="172"/>
      <c r="DT190" s="172"/>
      <c r="DU190" s="172"/>
      <c r="DV190" s="196"/>
    </row>
    <row r="191" spans="1:126" x14ac:dyDescent="0.2">
      <c r="A191" s="143" t="s">
        <v>554</v>
      </c>
      <c r="AJ191" s="133"/>
      <c r="AK191" s="133"/>
      <c r="AL191" s="183"/>
      <c r="AM191" s="183"/>
      <c r="AN191" s="183"/>
      <c r="AO191" s="183"/>
      <c r="AP191" s="183"/>
      <c r="AQ191" s="183"/>
      <c r="AR191" s="183"/>
      <c r="AS191" s="183"/>
      <c r="AT191" s="183"/>
      <c r="AU191" s="183"/>
      <c r="AV191" s="183"/>
      <c r="AW191" s="183"/>
      <c r="AX191" s="183"/>
      <c r="AY191" s="183"/>
      <c r="AZ191" s="183"/>
      <c r="BA191" s="183"/>
      <c r="BB191" s="183"/>
      <c r="BC191" s="183"/>
      <c r="BD191" s="183"/>
      <c r="BE191" s="183"/>
      <c r="BF191" s="133"/>
      <c r="CG191" s="179"/>
      <c r="CH191" s="169"/>
      <c r="CI191" s="177"/>
      <c r="CJ191" s="177"/>
      <c r="CK191" s="177"/>
      <c r="CL191" s="177"/>
      <c r="CM191" s="177"/>
      <c r="CN191" s="177"/>
      <c r="CO191" s="177"/>
      <c r="CP191" s="177"/>
      <c r="CQ191" s="177"/>
      <c r="CR191" s="177"/>
      <c r="CS191" s="177"/>
      <c r="CT191" s="177"/>
      <c r="CU191" s="177"/>
      <c r="CV191" s="172"/>
      <c r="CW191" s="172"/>
      <c r="CX191" s="172"/>
      <c r="CY191" s="172"/>
      <c r="CZ191" s="172"/>
      <c r="DA191" s="196"/>
      <c r="DC191" s="169"/>
      <c r="DD191" s="177"/>
      <c r="DE191" s="177"/>
      <c r="DF191" s="177"/>
      <c r="DG191" s="177"/>
      <c r="DH191" s="177"/>
      <c r="DI191" s="177"/>
      <c r="DJ191" s="177"/>
      <c r="DK191" s="177"/>
      <c r="DL191" s="177"/>
      <c r="DM191" s="177"/>
      <c r="DN191" s="177"/>
      <c r="DO191" s="177"/>
      <c r="DP191" s="177"/>
      <c r="DQ191" s="172"/>
      <c r="DR191" s="172"/>
      <c r="DS191" s="172"/>
      <c r="DT191" s="172"/>
      <c r="DU191" s="172"/>
      <c r="DV191" s="196"/>
    </row>
    <row r="192" spans="1:126" x14ac:dyDescent="0.2">
      <c r="A192" s="143" t="s">
        <v>555</v>
      </c>
      <c r="AJ192" s="133"/>
      <c r="AK192" s="133"/>
      <c r="AL192" s="183"/>
      <c r="AM192" s="183"/>
      <c r="AN192" s="183"/>
      <c r="AO192" s="183"/>
      <c r="AP192" s="183"/>
      <c r="AQ192" s="183"/>
      <c r="AR192" s="183"/>
      <c r="AS192" s="183"/>
      <c r="AT192" s="183"/>
      <c r="AU192" s="183"/>
      <c r="AV192" s="183"/>
      <c r="AW192" s="183"/>
      <c r="AX192" s="183"/>
      <c r="AY192" s="183"/>
      <c r="AZ192" s="183"/>
      <c r="BA192" s="183"/>
      <c r="BB192" s="183"/>
      <c r="BC192" s="183"/>
      <c r="BD192" s="183"/>
      <c r="BE192" s="183"/>
      <c r="BF192" s="133"/>
      <c r="CG192" s="179"/>
      <c r="CH192" s="169"/>
      <c r="CI192" s="177"/>
      <c r="CJ192" s="177"/>
      <c r="CK192" s="177"/>
      <c r="CL192" s="177"/>
      <c r="CM192" s="177"/>
      <c r="CN192" s="177"/>
      <c r="CO192" s="177"/>
      <c r="CP192" s="177"/>
      <c r="CQ192" s="177"/>
      <c r="CR192" s="177"/>
      <c r="CS192" s="177"/>
      <c r="CT192" s="177"/>
      <c r="CU192" s="177"/>
      <c r="CV192" s="172"/>
      <c r="CW192" s="172"/>
      <c r="CX192" s="172"/>
      <c r="CY192" s="172"/>
      <c r="CZ192" s="172"/>
      <c r="DA192" s="196"/>
      <c r="DC192" s="169"/>
      <c r="DD192" s="177"/>
      <c r="DE192" s="177"/>
      <c r="DF192" s="177"/>
      <c r="DG192" s="177"/>
      <c r="DH192" s="177"/>
      <c r="DI192" s="177"/>
      <c r="DJ192" s="177"/>
      <c r="DK192" s="177"/>
      <c r="DL192" s="177"/>
      <c r="DM192" s="177"/>
      <c r="DN192" s="177"/>
      <c r="DO192" s="177"/>
      <c r="DP192" s="177"/>
      <c r="DQ192" s="172"/>
      <c r="DR192" s="172"/>
      <c r="DS192" s="172"/>
      <c r="DT192" s="172"/>
      <c r="DU192" s="172"/>
      <c r="DV192" s="196"/>
    </row>
    <row r="193" spans="1:126" x14ac:dyDescent="0.2">
      <c r="A193" s="143" t="s">
        <v>556</v>
      </c>
      <c r="AJ193" s="133"/>
      <c r="AK193" s="133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33"/>
      <c r="CG193" s="179"/>
      <c r="CH193" s="197"/>
      <c r="CI193" s="180"/>
      <c r="CJ193" s="180"/>
      <c r="CK193" s="180"/>
      <c r="CL193" s="180"/>
      <c r="CM193" s="180"/>
      <c r="CN193" s="180"/>
      <c r="CO193" s="180"/>
      <c r="CP193" s="180"/>
      <c r="CQ193" s="180"/>
      <c r="CR193" s="180"/>
      <c r="CS193" s="180"/>
      <c r="CT193" s="180"/>
      <c r="CU193" s="180"/>
      <c r="CV193" s="173"/>
      <c r="CW193" s="173"/>
      <c r="CX193" s="173"/>
      <c r="CY193" s="173"/>
      <c r="CZ193" s="173"/>
      <c r="DA193" s="198"/>
      <c r="DC193" s="197"/>
      <c r="DD193" s="180"/>
      <c r="DE193" s="180"/>
      <c r="DF193" s="180"/>
      <c r="DG193" s="180"/>
      <c r="DH193" s="180"/>
      <c r="DI193" s="180"/>
      <c r="DJ193" s="180"/>
      <c r="DK193" s="180"/>
      <c r="DL193" s="180"/>
      <c r="DM193" s="180"/>
      <c r="DN193" s="180"/>
      <c r="DO193" s="180"/>
      <c r="DP193" s="180"/>
      <c r="DQ193" s="173"/>
      <c r="DR193" s="173"/>
      <c r="DS193" s="173"/>
      <c r="DT193" s="173"/>
      <c r="DU193" s="173"/>
      <c r="DV193" s="198"/>
    </row>
    <row r="194" spans="1:126" x14ac:dyDescent="0.2">
      <c r="A194" s="143" t="s">
        <v>557</v>
      </c>
      <c r="AJ194" s="133"/>
      <c r="AK194" s="133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33"/>
      <c r="CG194" s="179"/>
      <c r="CH194" s="197"/>
      <c r="CI194" s="180"/>
      <c r="CJ194" s="180"/>
      <c r="CK194" s="180"/>
      <c r="CL194" s="180"/>
      <c r="CM194" s="180"/>
      <c r="CN194" s="180"/>
      <c r="CO194" s="180"/>
      <c r="CP194" s="180"/>
      <c r="CQ194" s="180"/>
      <c r="CR194" s="180"/>
      <c r="CS194" s="180"/>
      <c r="CT194" s="180"/>
      <c r="CU194" s="180"/>
      <c r="CV194" s="173"/>
      <c r="CW194" s="173"/>
      <c r="CX194" s="173"/>
      <c r="CY194" s="173"/>
      <c r="CZ194" s="173"/>
      <c r="DA194" s="198"/>
      <c r="DC194" s="197"/>
      <c r="DD194" s="180"/>
      <c r="DE194" s="180"/>
      <c r="DF194" s="180"/>
      <c r="DG194" s="180"/>
      <c r="DH194" s="180"/>
      <c r="DI194" s="180"/>
      <c r="DJ194" s="180"/>
      <c r="DK194" s="180"/>
      <c r="DL194" s="180"/>
      <c r="DM194" s="180"/>
      <c r="DN194" s="180"/>
      <c r="DO194" s="180"/>
      <c r="DP194" s="180"/>
      <c r="DQ194" s="173"/>
      <c r="DR194" s="173"/>
      <c r="DS194" s="173"/>
      <c r="DT194" s="173"/>
      <c r="DU194" s="173"/>
      <c r="DV194" s="198"/>
    </row>
    <row r="195" spans="1:126" x14ac:dyDescent="0.2">
      <c r="A195" s="143" t="s">
        <v>558</v>
      </c>
      <c r="AJ195" s="133"/>
      <c r="AK195" s="133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33"/>
      <c r="CG195" s="179"/>
      <c r="CH195" s="197"/>
      <c r="CI195" s="180"/>
      <c r="CJ195" s="180"/>
      <c r="CK195" s="180"/>
      <c r="CL195" s="180"/>
      <c r="CM195" s="180"/>
      <c r="CN195" s="180"/>
      <c r="CO195" s="180"/>
      <c r="CP195" s="180"/>
      <c r="CQ195" s="180"/>
      <c r="CR195" s="180"/>
      <c r="CS195" s="180"/>
      <c r="CT195" s="180"/>
      <c r="CU195" s="180"/>
      <c r="CV195" s="173"/>
      <c r="CW195" s="173"/>
      <c r="CX195" s="173"/>
      <c r="CY195" s="173"/>
      <c r="CZ195" s="173"/>
      <c r="DA195" s="198"/>
      <c r="DC195" s="197"/>
      <c r="DD195" s="180"/>
      <c r="DE195" s="180"/>
      <c r="DF195" s="180"/>
      <c r="DG195" s="180"/>
      <c r="DH195" s="180"/>
      <c r="DI195" s="180"/>
      <c r="DJ195" s="180"/>
      <c r="DK195" s="180"/>
      <c r="DL195" s="180"/>
      <c r="DM195" s="180"/>
      <c r="DN195" s="180"/>
      <c r="DO195" s="180"/>
      <c r="DP195" s="180"/>
      <c r="DQ195" s="173"/>
      <c r="DR195" s="173"/>
      <c r="DS195" s="173"/>
      <c r="DT195" s="173"/>
      <c r="DU195" s="173"/>
      <c r="DV195" s="198"/>
    </row>
    <row r="196" spans="1:126" x14ac:dyDescent="0.2">
      <c r="A196" s="143" t="s">
        <v>559</v>
      </c>
      <c r="AJ196" s="133"/>
      <c r="AK196" s="133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33"/>
      <c r="CG196" s="179"/>
      <c r="CH196" s="197"/>
      <c r="CI196" s="180"/>
      <c r="CJ196" s="180"/>
      <c r="CK196" s="180"/>
      <c r="CL196" s="180"/>
      <c r="CM196" s="180"/>
      <c r="CN196" s="180"/>
      <c r="CO196" s="180"/>
      <c r="CP196" s="180"/>
      <c r="CQ196" s="180"/>
      <c r="CR196" s="180"/>
      <c r="CS196" s="180"/>
      <c r="CT196" s="180"/>
      <c r="CU196" s="180"/>
      <c r="CV196" s="173"/>
      <c r="CW196" s="173"/>
      <c r="CX196" s="173"/>
      <c r="CY196" s="173"/>
      <c r="CZ196" s="173"/>
      <c r="DA196" s="198"/>
      <c r="DC196" s="197"/>
      <c r="DD196" s="180"/>
      <c r="DE196" s="180"/>
      <c r="DF196" s="180"/>
      <c r="DG196" s="180"/>
      <c r="DH196" s="180"/>
      <c r="DI196" s="180"/>
      <c r="DJ196" s="180"/>
      <c r="DK196" s="180"/>
      <c r="DL196" s="180"/>
      <c r="DM196" s="180"/>
      <c r="DN196" s="180"/>
      <c r="DO196" s="180"/>
      <c r="DP196" s="180"/>
      <c r="DQ196" s="173"/>
      <c r="DR196" s="173"/>
      <c r="DS196" s="173"/>
      <c r="DT196" s="173"/>
      <c r="DU196" s="173"/>
      <c r="DV196" s="198"/>
    </row>
    <row r="197" spans="1:126" x14ac:dyDescent="0.2">
      <c r="A197" s="144" t="s">
        <v>560</v>
      </c>
      <c r="AJ197" s="133"/>
      <c r="AK197" s="133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33"/>
      <c r="CG197" s="179"/>
      <c r="CH197" s="197"/>
      <c r="CI197" s="180"/>
      <c r="CJ197" s="180"/>
      <c r="CK197" s="180"/>
      <c r="CL197" s="180"/>
      <c r="CM197" s="180"/>
      <c r="CN197" s="180"/>
      <c r="CO197" s="180"/>
      <c r="CP197" s="180"/>
      <c r="CQ197" s="180"/>
      <c r="CR197" s="180"/>
      <c r="CS197" s="180"/>
      <c r="CT197" s="180"/>
      <c r="CU197" s="180"/>
      <c r="CV197" s="173"/>
      <c r="CW197" s="173"/>
      <c r="CX197" s="173"/>
      <c r="CY197" s="173"/>
      <c r="CZ197" s="173"/>
      <c r="DA197" s="198"/>
      <c r="DC197" s="197"/>
      <c r="DD197" s="180"/>
      <c r="DE197" s="180"/>
      <c r="DF197" s="180"/>
      <c r="DG197" s="180"/>
      <c r="DH197" s="180"/>
      <c r="DI197" s="180"/>
      <c r="DJ197" s="180"/>
      <c r="DK197" s="180"/>
      <c r="DL197" s="180"/>
      <c r="DM197" s="180"/>
      <c r="DN197" s="180"/>
      <c r="DO197" s="180"/>
      <c r="DP197" s="180"/>
      <c r="DQ197" s="173"/>
      <c r="DR197" s="173"/>
      <c r="DS197" s="173"/>
      <c r="DT197" s="173"/>
      <c r="DU197" s="173"/>
      <c r="DV197" s="198"/>
    </row>
    <row r="198" spans="1:126" x14ac:dyDescent="0.2">
      <c r="A198" s="142" t="s">
        <v>561</v>
      </c>
      <c r="AJ198" s="133"/>
      <c r="AK198" s="133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33"/>
      <c r="CG198" s="176"/>
      <c r="CH198" s="197"/>
      <c r="CI198" s="180"/>
      <c r="CJ198" s="180"/>
      <c r="CK198" s="180"/>
      <c r="CL198" s="180"/>
      <c r="CM198" s="180"/>
      <c r="CN198" s="180"/>
      <c r="CO198" s="180"/>
      <c r="CP198" s="180"/>
      <c r="CQ198" s="180"/>
      <c r="CR198" s="180"/>
      <c r="CS198" s="180"/>
      <c r="CT198" s="180"/>
      <c r="CU198" s="180"/>
      <c r="CV198" s="173"/>
      <c r="CW198" s="173"/>
      <c r="CX198" s="173"/>
      <c r="CY198" s="173"/>
      <c r="CZ198" s="173"/>
      <c r="DA198" s="198"/>
      <c r="DC198" s="197"/>
      <c r="DD198" s="180"/>
      <c r="DE198" s="180"/>
      <c r="DF198" s="180"/>
      <c r="DG198" s="180"/>
      <c r="DH198" s="180"/>
      <c r="DI198" s="180"/>
      <c r="DJ198" s="180"/>
      <c r="DK198" s="180"/>
      <c r="DL198" s="180"/>
      <c r="DM198" s="180"/>
      <c r="DN198" s="180"/>
      <c r="DO198" s="180"/>
      <c r="DP198" s="180"/>
      <c r="DQ198" s="173"/>
      <c r="DR198" s="173"/>
      <c r="DS198" s="173"/>
      <c r="DT198" s="173"/>
      <c r="DU198" s="173"/>
      <c r="DV198" s="198"/>
    </row>
    <row r="199" spans="1:126" x14ac:dyDescent="0.2">
      <c r="A199" s="143" t="s">
        <v>562</v>
      </c>
      <c r="AJ199" s="133"/>
      <c r="AK199" s="133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33"/>
      <c r="CG199" s="176"/>
      <c r="CH199" s="197"/>
      <c r="CI199" s="180"/>
      <c r="CJ199" s="180"/>
      <c r="CK199" s="180"/>
      <c r="CL199" s="180"/>
      <c r="CM199" s="180"/>
      <c r="CN199" s="180"/>
      <c r="CO199" s="180"/>
      <c r="CP199" s="180"/>
      <c r="CQ199" s="180"/>
      <c r="CR199" s="180"/>
      <c r="CS199" s="180"/>
      <c r="CT199" s="180"/>
      <c r="CU199" s="180"/>
      <c r="CV199" s="173"/>
      <c r="CW199" s="173"/>
      <c r="CX199" s="173"/>
      <c r="CY199" s="173"/>
      <c r="CZ199" s="173"/>
      <c r="DA199" s="198"/>
      <c r="DC199" s="197"/>
      <c r="DD199" s="180"/>
      <c r="DE199" s="180"/>
      <c r="DF199" s="180"/>
      <c r="DG199" s="180"/>
      <c r="DH199" s="180"/>
      <c r="DI199" s="180"/>
      <c r="DJ199" s="180"/>
      <c r="DK199" s="180"/>
      <c r="DL199" s="180"/>
      <c r="DM199" s="180"/>
      <c r="DN199" s="180"/>
      <c r="DO199" s="180"/>
      <c r="DP199" s="180"/>
      <c r="DQ199" s="173"/>
      <c r="DR199" s="173"/>
      <c r="DS199" s="173"/>
      <c r="DT199" s="173"/>
      <c r="DU199" s="173"/>
      <c r="DV199" s="198"/>
    </row>
    <row r="200" spans="1:126" x14ac:dyDescent="0.2">
      <c r="A200" s="143" t="s">
        <v>563</v>
      </c>
      <c r="AJ200" s="133"/>
      <c r="AK200" s="133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33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33"/>
      <c r="CG200" s="176"/>
      <c r="CH200" s="199"/>
      <c r="CI200" s="200"/>
      <c r="CJ200" s="200"/>
      <c r="CK200" s="200"/>
      <c r="CL200" s="200"/>
      <c r="CM200" s="200"/>
      <c r="CN200" s="200"/>
      <c r="CO200" s="200"/>
      <c r="CP200" s="200"/>
      <c r="CQ200" s="201"/>
      <c r="CR200" s="202"/>
      <c r="CS200" s="200"/>
      <c r="CT200" s="200"/>
      <c r="CU200" s="200"/>
      <c r="CV200" s="203"/>
      <c r="CW200" s="203"/>
      <c r="CX200" s="203"/>
      <c r="CY200" s="203"/>
      <c r="CZ200" s="203"/>
      <c r="DA200" s="204"/>
      <c r="DC200" s="199"/>
      <c r="DD200" s="200"/>
      <c r="DE200" s="200"/>
      <c r="DF200" s="200"/>
      <c r="DG200" s="200"/>
      <c r="DH200" s="200"/>
      <c r="DI200" s="200"/>
      <c r="DJ200" s="200"/>
      <c r="DK200" s="200"/>
      <c r="DL200" s="200"/>
      <c r="DM200" s="200"/>
      <c r="DN200" s="200"/>
      <c r="DO200" s="200"/>
      <c r="DP200" s="200"/>
      <c r="DQ200" s="203"/>
      <c r="DR200" s="203"/>
      <c r="DS200" s="203"/>
      <c r="DT200" s="203"/>
      <c r="DU200" s="203"/>
      <c r="DV200" s="204"/>
    </row>
    <row r="201" spans="1:126" x14ac:dyDescent="0.2">
      <c r="A201" s="143" t="s">
        <v>564</v>
      </c>
      <c r="AJ201" s="133"/>
      <c r="AK201" s="133"/>
      <c r="AL201" s="183"/>
      <c r="AM201" s="183"/>
      <c r="AN201" s="183"/>
      <c r="AO201" s="183"/>
      <c r="AP201" s="183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33"/>
      <c r="CG201" s="176">
        <v>11</v>
      </c>
      <c r="CH201" s="192"/>
      <c r="CI201" s="193"/>
      <c r="CJ201" s="193"/>
      <c r="CK201" s="193"/>
      <c r="CL201" s="193"/>
      <c r="CM201" s="193"/>
      <c r="CN201" s="193"/>
      <c r="CO201" s="193"/>
      <c r="CP201" s="193"/>
      <c r="CQ201" s="193"/>
      <c r="CR201" s="193"/>
      <c r="CS201" s="193"/>
      <c r="CT201" s="193"/>
      <c r="CU201" s="193"/>
      <c r="CV201" s="194"/>
      <c r="CW201" s="194"/>
      <c r="CX201" s="194"/>
      <c r="CY201" s="194"/>
      <c r="CZ201" s="194"/>
      <c r="DA201" s="195"/>
      <c r="DC201" s="192"/>
      <c r="DD201" s="193"/>
      <c r="DE201" s="193"/>
      <c r="DF201" s="193"/>
      <c r="DG201" s="193"/>
      <c r="DH201" s="193"/>
      <c r="DI201" s="193"/>
      <c r="DJ201" s="193"/>
      <c r="DK201" s="193"/>
      <c r="DL201" s="193"/>
      <c r="DM201" s="193"/>
      <c r="DN201" s="193"/>
      <c r="DO201" s="193"/>
      <c r="DP201" s="193"/>
      <c r="DQ201" s="194"/>
      <c r="DR201" s="194"/>
      <c r="DS201" s="194"/>
      <c r="DT201" s="194"/>
      <c r="DU201" s="194"/>
      <c r="DV201" s="195"/>
    </row>
    <row r="202" spans="1:126" x14ac:dyDescent="0.2">
      <c r="A202" s="143" t="s">
        <v>565</v>
      </c>
      <c r="AJ202" s="133"/>
      <c r="AK202" s="133"/>
      <c r="AL202" s="183"/>
      <c r="AM202" s="183"/>
      <c r="AN202" s="183"/>
      <c r="AO202" s="183"/>
      <c r="AP202" s="183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33"/>
      <c r="CG202" s="176"/>
      <c r="CH202" s="169"/>
      <c r="CI202" s="177"/>
      <c r="CJ202" s="177"/>
      <c r="CK202" s="177"/>
      <c r="CL202" s="177"/>
      <c r="CM202" s="177"/>
      <c r="CN202" s="177"/>
      <c r="CO202" s="177"/>
      <c r="CP202" s="177"/>
      <c r="CQ202" s="177"/>
      <c r="CR202" s="177"/>
      <c r="CS202" s="177"/>
      <c r="CT202" s="177"/>
      <c r="CU202" s="177"/>
      <c r="CV202" s="172"/>
      <c r="CW202" s="172"/>
      <c r="CX202" s="172"/>
      <c r="CY202" s="172"/>
      <c r="CZ202" s="172"/>
      <c r="DA202" s="196"/>
      <c r="DC202" s="169"/>
      <c r="DD202" s="177"/>
      <c r="DE202" s="177"/>
      <c r="DF202" s="177"/>
      <c r="DG202" s="177"/>
      <c r="DH202" s="177"/>
      <c r="DI202" s="177"/>
      <c r="DJ202" s="177"/>
      <c r="DK202" s="177"/>
      <c r="DL202" s="177"/>
      <c r="DM202" s="177"/>
      <c r="DN202" s="177"/>
      <c r="DO202" s="177"/>
      <c r="DP202" s="177"/>
      <c r="DQ202" s="172"/>
      <c r="DR202" s="172"/>
      <c r="DS202" s="172"/>
      <c r="DT202" s="172"/>
      <c r="DU202" s="172"/>
      <c r="DV202" s="196"/>
    </row>
    <row r="203" spans="1:126" x14ac:dyDescent="0.2">
      <c r="A203" s="143" t="s">
        <v>566</v>
      </c>
      <c r="AJ203" s="133"/>
      <c r="AK203" s="133"/>
      <c r="AL203" s="183"/>
      <c r="AM203" s="183"/>
      <c r="AN203" s="183"/>
      <c r="AO203" s="183"/>
      <c r="AP203" s="183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33"/>
      <c r="CG203" s="131"/>
      <c r="CH203" s="169"/>
      <c r="CI203" s="177"/>
      <c r="CJ203" s="177"/>
      <c r="CK203" s="177"/>
      <c r="CL203" s="177"/>
      <c r="CM203" s="177"/>
      <c r="CN203" s="177"/>
      <c r="CO203" s="177"/>
      <c r="CP203" s="177"/>
      <c r="CQ203" s="177"/>
      <c r="CR203" s="177"/>
      <c r="CS203" s="177"/>
      <c r="CT203" s="177"/>
      <c r="CU203" s="177"/>
      <c r="CV203" s="172"/>
      <c r="CW203" s="172"/>
      <c r="CX203" s="172"/>
      <c r="CY203" s="172"/>
      <c r="CZ203" s="172"/>
      <c r="DA203" s="196"/>
      <c r="DC203" s="169"/>
      <c r="DD203" s="177"/>
      <c r="DE203" s="177"/>
      <c r="DF203" s="177"/>
      <c r="DG203" s="177"/>
      <c r="DH203" s="177"/>
      <c r="DI203" s="177"/>
      <c r="DJ203" s="177"/>
      <c r="DK203" s="177"/>
      <c r="DL203" s="177"/>
      <c r="DM203" s="177"/>
      <c r="DN203" s="177"/>
      <c r="DO203" s="177"/>
      <c r="DP203" s="177"/>
      <c r="DQ203" s="172"/>
      <c r="DR203" s="172"/>
      <c r="DS203" s="172"/>
      <c r="DT203" s="172"/>
      <c r="DU203" s="172"/>
      <c r="DV203" s="196"/>
    </row>
    <row r="204" spans="1:126" x14ac:dyDescent="0.2">
      <c r="A204" s="143" t="s">
        <v>567</v>
      </c>
      <c r="AJ204" s="133"/>
      <c r="AK204" s="133"/>
      <c r="AL204" s="183"/>
      <c r="AM204" s="183"/>
      <c r="AN204" s="183"/>
      <c r="AO204" s="183"/>
      <c r="AP204" s="183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33"/>
      <c r="CG204" s="176"/>
      <c r="CH204" s="169"/>
      <c r="CI204" s="177"/>
      <c r="CJ204" s="177"/>
      <c r="CK204" s="177"/>
      <c r="CL204" s="177"/>
      <c r="CM204" s="177"/>
      <c r="CN204" s="177"/>
      <c r="CO204" s="177"/>
      <c r="CP204" s="177"/>
      <c r="CQ204" s="177"/>
      <c r="CR204" s="177"/>
      <c r="CS204" s="177"/>
      <c r="CT204" s="177"/>
      <c r="CU204" s="177"/>
      <c r="CV204" s="172"/>
      <c r="CW204" s="172"/>
      <c r="CX204" s="172"/>
      <c r="CY204" s="172"/>
      <c r="CZ204" s="172"/>
      <c r="DA204" s="196"/>
      <c r="DC204" s="169"/>
      <c r="DD204" s="177"/>
      <c r="DE204" s="177"/>
      <c r="DF204" s="177"/>
      <c r="DG204" s="177"/>
      <c r="DH204" s="177"/>
      <c r="DI204" s="177"/>
      <c r="DJ204" s="177"/>
      <c r="DK204" s="177"/>
      <c r="DL204" s="177"/>
      <c r="DM204" s="177"/>
      <c r="DN204" s="177"/>
      <c r="DO204" s="177"/>
      <c r="DP204" s="177"/>
      <c r="DQ204" s="172"/>
      <c r="DR204" s="172"/>
      <c r="DS204" s="172"/>
      <c r="DT204" s="172"/>
      <c r="DU204" s="172"/>
      <c r="DV204" s="196"/>
    </row>
    <row r="205" spans="1:126" x14ac:dyDescent="0.2">
      <c r="A205" s="143" t="s">
        <v>568</v>
      </c>
      <c r="AJ205" s="133"/>
      <c r="AK205" s="133"/>
      <c r="AL205" s="183"/>
      <c r="AM205" s="183"/>
      <c r="AN205" s="183"/>
      <c r="AO205" s="183"/>
      <c r="AP205" s="183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33"/>
      <c r="CG205" s="178"/>
      <c r="CH205" s="169"/>
      <c r="CI205" s="177"/>
      <c r="CJ205" s="177"/>
      <c r="CK205" s="177"/>
      <c r="CL205" s="177"/>
      <c r="CM205" s="177"/>
      <c r="CN205" s="177"/>
      <c r="CO205" s="177"/>
      <c r="CP205" s="177"/>
      <c r="CQ205" s="177"/>
      <c r="CR205" s="177"/>
      <c r="CS205" s="177"/>
      <c r="CT205" s="177"/>
      <c r="CU205" s="177"/>
      <c r="CV205" s="172"/>
      <c r="CW205" s="172"/>
      <c r="CX205" s="172"/>
      <c r="CY205" s="172"/>
      <c r="CZ205" s="172"/>
      <c r="DA205" s="196"/>
      <c r="DC205" s="169"/>
      <c r="DD205" s="177"/>
      <c r="DE205" s="177"/>
      <c r="DF205" s="177"/>
      <c r="DG205" s="177"/>
      <c r="DH205" s="177"/>
      <c r="DI205" s="177"/>
      <c r="DJ205" s="177"/>
      <c r="DK205" s="177"/>
      <c r="DL205" s="177"/>
      <c r="DM205" s="177"/>
      <c r="DN205" s="177"/>
      <c r="DO205" s="177"/>
      <c r="DP205" s="177"/>
      <c r="DQ205" s="172"/>
      <c r="DR205" s="172"/>
      <c r="DS205" s="172"/>
      <c r="DT205" s="172"/>
      <c r="DU205" s="172"/>
      <c r="DV205" s="196"/>
    </row>
    <row r="206" spans="1:126" x14ac:dyDescent="0.2">
      <c r="A206" s="143" t="s">
        <v>569</v>
      </c>
      <c r="AJ206" s="133"/>
      <c r="AK206" s="133"/>
      <c r="AL206" s="183"/>
      <c r="AM206" s="183"/>
      <c r="AN206" s="183"/>
      <c r="AO206" s="183"/>
      <c r="AP206" s="183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33"/>
      <c r="CG206" s="179"/>
      <c r="CH206" s="169"/>
      <c r="CI206" s="177"/>
      <c r="CJ206" s="177"/>
      <c r="CK206" s="177"/>
      <c r="CL206" s="177"/>
      <c r="CM206" s="177"/>
      <c r="CN206" s="177"/>
      <c r="CO206" s="177"/>
      <c r="CP206" s="177"/>
      <c r="CQ206" s="177"/>
      <c r="CR206" s="177"/>
      <c r="CS206" s="177"/>
      <c r="CT206" s="177"/>
      <c r="CU206" s="177"/>
      <c r="CV206" s="172"/>
      <c r="CW206" s="172"/>
      <c r="CX206" s="172"/>
      <c r="CY206" s="172"/>
      <c r="CZ206" s="172"/>
      <c r="DA206" s="196"/>
      <c r="DC206" s="169"/>
      <c r="DD206" s="177"/>
      <c r="DE206" s="177"/>
      <c r="DF206" s="177"/>
      <c r="DG206" s="177"/>
      <c r="DH206" s="177"/>
      <c r="DI206" s="177"/>
      <c r="DJ206" s="177"/>
      <c r="DK206" s="177"/>
      <c r="DL206" s="177"/>
      <c r="DM206" s="177"/>
      <c r="DN206" s="177"/>
      <c r="DO206" s="177"/>
      <c r="DP206" s="177"/>
      <c r="DQ206" s="172"/>
      <c r="DR206" s="172"/>
      <c r="DS206" s="172"/>
      <c r="DT206" s="172"/>
      <c r="DU206" s="172"/>
      <c r="DV206" s="196"/>
    </row>
    <row r="207" spans="1:126" x14ac:dyDescent="0.2">
      <c r="A207" s="143" t="s">
        <v>570</v>
      </c>
      <c r="AJ207" s="133"/>
      <c r="AK207" s="133"/>
      <c r="AL207" s="183"/>
      <c r="AM207" s="183"/>
      <c r="AN207" s="183"/>
      <c r="AO207" s="183"/>
      <c r="AP207" s="183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33"/>
      <c r="CG207" s="179"/>
      <c r="CH207" s="169"/>
      <c r="CI207" s="177"/>
      <c r="CJ207" s="177"/>
      <c r="CK207" s="177"/>
      <c r="CL207" s="177"/>
      <c r="CM207" s="177"/>
      <c r="CN207" s="177"/>
      <c r="CO207" s="177"/>
      <c r="CP207" s="177"/>
      <c r="CQ207" s="177"/>
      <c r="CR207" s="177"/>
      <c r="CS207" s="177"/>
      <c r="CT207" s="177"/>
      <c r="CU207" s="177"/>
      <c r="CV207" s="172"/>
      <c r="CW207" s="172"/>
      <c r="CX207" s="172"/>
      <c r="CY207" s="172"/>
      <c r="CZ207" s="172"/>
      <c r="DA207" s="196"/>
      <c r="DC207" s="169"/>
      <c r="DD207" s="177"/>
      <c r="DE207" s="177"/>
      <c r="DF207" s="177"/>
      <c r="DG207" s="177"/>
      <c r="DH207" s="177"/>
      <c r="DI207" s="177"/>
      <c r="DJ207" s="177"/>
      <c r="DK207" s="177"/>
      <c r="DL207" s="177"/>
      <c r="DM207" s="177"/>
      <c r="DN207" s="177"/>
      <c r="DO207" s="177"/>
      <c r="DP207" s="177"/>
      <c r="DQ207" s="172"/>
      <c r="DR207" s="172"/>
      <c r="DS207" s="172"/>
      <c r="DT207" s="172"/>
      <c r="DU207" s="172"/>
      <c r="DV207" s="196"/>
    </row>
    <row r="208" spans="1:126" x14ac:dyDescent="0.2">
      <c r="A208" s="143" t="s">
        <v>571</v>
      </c>
      <c r="AJ208" s="133"/>
      <c r="AK208" s="133"/>
      <c r="AL208" s="183"/>
      <c r="AM208" s="183"/>
      <c r="AN208" s="183"/>
      <c r="AO208" s="183"/>
      <c r="AP208" s="183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33"/>
      <c r="CG208" s="179"/>
      <c r="CH208" s="169"/>
      <c r="CI208" s="177"/>
      <c r="CJ208" s="177"/>
      <c r="CK208" s="177"/>
      <c r="CL208" s="177"/>
      <c r="CM208" s="177"/>
      <c r="CN208" s="177"/>
      <c r="CO208" s="177"/>
      <c r="CP208" s="177"/>
      <c r="CQ208" s="177"/>
      <c r="CR208" s="177"/>
      <c r="CS208" s="177"/>
      <c r="CT208" s="177"/>
      <c r="CU208" s="177"/>
      <c r="CV208" s="172"/>
      <c r="CW208" s="172"/>
      <c r="CX208" s="172"/>
      <c r="CY208" s="172"/>
      <c r="CZ208" s="172"/>
      <c r="DA208" s="196"/>
      <c r="DC208" s="169"/>
      <c r="DD208" s="177"/>
      <c r="DE208" s="177"/>
      <c r="DF208" s="177"/>
      <c r="DG208" s="177"/>
      <c r="DH208" s="177"/>
      <c r="DI208" s="177"/>
      <c r="DJ208" s="177"/>
      <c r="DK208" s="177"/>
      <c r="DL208" s="177"/>
      <c r="DM208" s="177"/>
      <c r="DN208" s="177"/>
      <c r="DO208" s="177"/>
      <c r="DP208" s="177"/>
      <c r="DQ208" s="172"/>
      <c r="DR208" s="172"/>
      <c r="DS208" s="172"/>
      <c r="DT208" s="172"/>
      <c r="DU208" s="172"/>
      <c r="DV208" s="196"/>
    </row>
    <row r="209" spans="1:126" x14ac:dyDescent="0.2">
      <c r="A209" s="143" t="s">
        <v>572</v>
      </c>
      <c r="AJ209" s="133"/>
      <c r="AK209" s="133"/>
      <c r="AL209" s="183"/>
      <c r="AM209" s="183"/>
      <c r="AN209" s="183"/>
      <c r="AO209" s="183"/>
      <c r="AP209" s="183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33"/>
      <c r="CG209" s="179"/>
      <c r="CH209" s="169"/>
      <c r="CI209" s="177"/>
      <c r="CJ209" s="177"/>
      <c r="CK209" s="177"/>
      <c r="CL209" s="177"/>
      <c r="CM209" s="177"/>
      <c r="CN209" s="177"/>
      <c r="CO209" s="177"/>
      <c r="CP209" s="177"/>
      <c r="CQ209" s="177"/>
      <c r="CR209" s="177"/>
      <c r="CS209" s="177"/>
      <c r="CT209" s="177"/>
      <c r="CU209" s="177"/>
      <c r="CV209" s="172"/>
      <c r="CW209" s="172"/>
      <c r="CX209" s="172"/>
      <c r="CY209" s="172"/>
      <c r="CZ209" s="172"/>
      <c r="DA209" s="196"/>
      <c r="DC209" s="169"/>
      <c r="DD209" s="177"/>
      <c r="DE209" s="177"/>
      <c r="DF209" s="177"/>
      <c r="DG209" s="177"/>
      <c r="DH209" s="177"/>
      <c r="DI209" s="177"/>
      <c r="DJ209" s="177"/>
      <c r="DK209" s="177"/>
      <c r="DL209" s="177"/>
      <c r="DM209" s="177"/>
      <c r="DN209" s="177"/>
      <c r="DO209" s="177"/>
      <c r="DP209" s="177"/>
      <c r="DQ209" s="172"/>
      <c r="DR209" s="172"/>
      <c r="DS209" s="172"/>
      <c r="DT209" s="172"/>
      <c r="DU209" s="172"/>
      <c r="DV209" s="196"/>
    </row>
    <row r="210" spans="1:126" x14ac:dyDescent="0.2">
      <c r="A210" s="143" t="s">
        <v>573</v>
      </c>
      <c r="AJ210" s="133"/>
      <c r="AK210" s="133"/>
      <c r="AL210" s="183"/>
      <c r="AM210" s="183"/>
      <c r="AN210" s="183"/>
      <c r="AO210" s="183"/>
      <c r="AP210" s="183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33"/>
      <c r="CG210" s="179"/>
      <c r="CH210" s="169"/>
      <c r="CI210" s="177"/>
      <c r="CJ210" s="177"/>
      <c r="CK210" s="177"/>
      <c r="CL210" s="177"/>
      <c r="CM210" s="177"/>
      <c r="CN210" s="177"/>
      <c r="CO210" s="177"/>
      <c r="CP210" s="177"/>
      <c r="CQ210" s="177"/>
      <c r="CR210" s="177"/>
      <c r="CS210" s="177"/>
      <c r="CT210" s="177"/>
      <c r="CU210" s="177"/>
      <c r="CV210" s="172"/>
      <c r="CW210" s="172"/>
      <c r="CX210" s="172"/>
      <c r="CY210" s="172"/>
      <c r="CZ210" s="172"/>
      <c r="DA210" s="196"/>
      <c r="DC210" s="169"/>
      <c r="DD210" s="177"/>
      <c r="DE210" s="177"/>
      <c r="DF210" s="177"/>
      <c r="DG210" s="177"/>
      <c r="DH210" s="177"/>
      <c r="DI210" s="177"/>
      <c r="DJ210" s="177"/>
      <c r="DK210" s="177"/>
      <c r="DL210" s="177"/>
      <c r="DM210" s="177"/>
      <c r="DN210" s="177"/>
      <c r="DO210" s="177"/>
      <c r="DP210" s="177"/>
      <c r="DQ210" s="172"/>
      <c r="DR210" s="172"/>
      <c r="DS210" s="172"/>
      <c r="DT210" s="172"/>
      <c r="DU210" s="172"/>
      <c r="DV210" s="196"/>
    </row>
    <row r="211" spans="1:126" x14ac:dyDescent="0.2">
      <c r="A211" s="143" t="s">
        <v>574</v>
      </c>
      <c r="AJ211" s="133"/>
      <c r="AK211" s="133"/>
      <c r="AL211" s="183"/>
      <c r="AM211" s="183"/>
      <c r="AN211" s="183"/>
      <c r="AO211" s="183"/>
      <c r="AP211" s="183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33"/>
      <c r="CG211" s="179"/>
      <c r="CH211" s="169"/>
      <c r="CI211" s="177"/>
      <c r="CJ211" s="177"/>
      <c r="CK211" s="177"/>
      <c r="CL211" s="177"/>
      <c r="CM211" s="177"/>
      <c r="CN211" s="177"/>
      <c r="CO211" s="177"/>
      <c r="CP211" s="177"/>
      <c r="CQ211" s="177"/>
      <c r="CR211" s="177"/>
      <c r="CS211" s="177"/>
      <c r="CT211" s="177"/>
      <c r="CU211" s="177"/>
      <c r="CV211" s="172"/>
      <c r="CW211" s="172"/>
      <c r="CX211" s="172"/>
      <c r="CY211" s="172"/>
      <c r="CZ211" s="172"/>
      <c r="DA211" s="196"/>
      <c r="DC211" s="169"/>
      <c r="DD211" s="177"/>
      <c r="DE211" s="177"/>
      <c r="DF211" s="177"/>
      <c r="DG211" s="177"/>
      <c r="DH211" s="177"/>
      <c r="DI211" s="177"/>
      <c r="DJ211" s="177"/>
      <c r="DK211" s="177"/>
      <c r="DL211" s="177"/>
      <c r="DM211" s="177"/>
      <c r="DN211" s="177"/>
      <c r="DO211" s="177"/>
      <c r="DP211" s="177"/>
      <c r="DQ211" s="172"/>
      <c r="DR211" s="172"/>
      <c r="DS211" s="172"/>
      <c r="DT211" s="172"/>
      <c r="DU211" s="172"/>
      <c r="DV211" s="196"/>
    </row>
    <row r="212" spans="1:126" x14ac:dyDescent="0.2">
      <c r="A212" s="143" t="s">
        <v>575</v>
      </c>
      <c r="AJ212" s="133"/>
      <c r="AK212" s="133"/>
      <c r="AL212" s="183"/>
      <c r="AM212" s="183"/>
      <c r="AN212" s="183"/>
      <c r="AO212" s="183"/>
      <c r="AP212" s="183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33"/>
      <c r="CG212" s="179"/>
      <c r="CH212" s="169"/>
      <c r="CI212" s="177"/>
      <c r="CJ212" s="177"/>
      <c r="CK212" s="177"/>
      <c r="CL212" s="177"/>
      <c r="CM212" s="177"/>
      <c r="CN212" s="177"/>
      <c r="CO212" s="177"/>
      <c r="CP212" s="177"/>
      <c r="CQ212" s="177"/>
      <c r="CR212" s="177"/>
      <c r="CS212" s="177"/>
      <c r="CT212" s="177"/>
      <c r="CU212" s="177"/>
      <c r="CV212" s="172"/>
      <c r="CW212" s="172"/>
      <c r="CX212" s="172"/>
      <c r="CY212" s="172"/>
      <c r="CZ212" s="172"/>
      <c r="DA212" s="196"/>
      <c r="DC212" s="169"/>
      <c r="DD212" s="177"/>
      <c r="DE212" s="177"/>
      <c r="DF212" s="177"/>
      <c r="DG212" s="177"/>
      <c r="DH212" s="177"/>
      <c r="DI212" s="177"/>
      <c r="DJ212" s="177"/>
      <c r="DK212" s="177"/>
      <c r="DL212" s="177"/>
      <c r="DM212" s="177"/>
      <c r="DN212" s="177"/>
      <c r="DO212" s="177"/>
      <c r="DP212" s="177"/>
      <c r="DQ212" s="172"/>
      <c r="DR212" s="172"/>
      <c r="DS212" s="172"/>
      <c r="DT212" s="172"/>
      <c r="DU212" s="172"/>
      <c r="DV212" s="196"/>
    </row>
    <row r="213" spans="1:126" x14ac:dyDescent="0.2">
      <c r="A213" s="143" t="s">
        <v>576</v>
      </c>
      <c r="AJ213" s="133"/>
      <c r="AK213" s="133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33"/>
      <c r="CG213" s="179"/>
      <c r="CH213" s="197"/>
      <c r="CI213" s="180"/>
      <c r="CJ213" s="180"/>
      <c r="CK213" s="180"/>
      <c r="CL213" s="180"/>
      <c r="CM213" s="180"/>
      <c r="CN213" s="180"/>
      <c r="CO213" s="180"/>
      <c r="CP213" s="180"/>
      <c r="CQ213" s="180"/>
      <c r="CR213" s="180"/>
      <c r="CS213" s="180"/>
      <c r="CT213" s="180"/>
      <c r="CU213" s="180"/>
      <c r="CV213" s="173"/>
      <c r="CW213" s="173"/>
      <c r="CX213" s="173"/>
      <c r="CY213" s="173"/>
      <c r="CZ213" s="173"/>
      <c r="DA213" s="198"/>
      <c r="DC213" s="197"/>
      <c r="DD213" s="180"/>
      <c r="DE213" s="180"/>
      <c r="DF213" s="180"/>
      <c r="DG213" s="180"/>
      <c r="DH213" s="180"/>
      <c r="DI213" s="180"/>
      <c r="DJ213" s="180"/>
      <c r="DK213" s="180"/>
      <c r="DL213" s="180"/>
      <c r="DM213" s="180"/>
      <c r="DN213" s="180"/>
      <c r="DO213" s="180"/>
      <c r="DP213" s="180"/>
      <c r="DQ213" s="173"/>
      <c r="DR213" s="173"/>
      <c r="DS213" s="173"/>
      <c r="DT213" s="173"/>
      <c r="DU213" s="173"/>
      <c r="DV213" s="198"/>
    </row>
    <row r="214" spans="1:126" x14ac:dyDescent="0.2">
      <c r="A214" s="143" t="s">
        <v>577</v>
      </c>
      <c r="AJ214" s="133"/>
      <c r="AK214" s="133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33"/>
      <c r="CG214" s="179"/>
      <c r="CH214" s="197"/>
      <c r="CI214" s="180"/>
      <c r="CJ214" s="180"/>
      <c r="CK214" s="180"/>
      <c r="CL214" s="180"/>
      <c r="CM214" s="180"/>
      <c r="CN214" s="180"/>
      <c r="CO214" s="180"/>
      <c r="CP214" s="180"/>
      <c r="CQ214" s="180"/>
      <c r="CR214" s="180"/>
      <c r="CS214" s="180"/>
      <c r="CT214" s="180"/>
      <c r="CU214" s="180"/>
      <c r="CV214" s="173"/>
      <c r="CW214" s="173"/>
      <c r="CX214" s="173"/>
      <c r="CY214" s="173"/>
      <c r="CZ214" s="173"/>
      <c r="DA214" s="198"/>
      <c r="DC214" s="197"/>
      <c r="DD214" s="180"/>
      <c r="DE214" s="180"/>
      <c r="DF214" s="180"/>
      <c r="DG214" s="180"/>
      <c r="DH214" s="180"/>
      <c r="DI214" s="180"/>
      <c r="DJ214" s="180"/>
      <c r="DK214" s="180"/>
      <c r="DL214" s="180"/>
      <c r="DM214" s="180"/>
      <c r="DN214" s="180"/>
      <c r="DO214" s="180"/>
      <c r="DP214" s="180"/>
      <c r="DQ214" s="173"/>
      <c r="DR214" s="173"/>
      <c r="DS214" s="173"/>
      <c r="DT214" s="173"/>
      <c r="DU214" s="173"/>
      <c r="DV214" s="198"/>
    </row>
    <row r="215" spans="1:126" x14ac:dyDescent="0.2">
      <c r="A215" s="143" t="s">
        <v>578</v>
      </c>
      <c r="AJ215" s="133"/>
      <c r="AK215" s="133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33"/>
      <c r="CG215" s="179"/>
      <c r="CH215" s="197"/>
      <c r="CI215" s="180"/>
      <c r="CJ215" s="180"/>
      <c r="CK215" s="180"/>
      <c r="CL215" s="180"/>
      <c r="CM215" s="180"/>
      <c r="CN215" s="180"/>
      <c r="CO215" s="180"/>
      <c r="CP215" s="180"/>
      <c r="CQ215" s="180"/>
      <c r="CR215" s="180"/>
      <c r="CS215" s="180"/>
      <c r="CT215" s="180"/>
      <c r="CU215" s="180"/>
      <c r="CV215" s="173"/>
      <c r="CW215" s="173"/>
      <c r="CX215" s="173"/>
      <c r="CY215" s="173"/>
      <c r="CZ215" s="173"/>
      <c r="DA215" s="198"/>
      <c r="DC215" s="197"/>
      <c r="DD215" s="180"/>
      <c r="DE215" s="180"/>
      <c r="DF215" s="180"/>
      <c r="DG215" s="180"/>
      <c r="DH215" s="180"/>
      <c r="DI215" s="180"/>
      <c r="DJ215" s="180"/>
      <c r="DK215" s="180"/>
      <c r="DL215" s="180"/>
      <c r="DM215" s="180"/>
      <c r="DN215" s="180"/>
      <c r="DO215" s="180"/>
      <c r="DP215" s="180"/>
      <c r="DQ215" s="173"/>
      <c r="DR215" s="173"/>
      <c r="DS215" s="173"/>
      <c r="DT215" s="173"/>
      <c r="DU215" s="173"/>
      <c r="DV215" s="198"/>
    </row>
    <row r="216" spans="1:126" x14ac:dyDescent="0.2">
      <c r="A216" s="143" t="s">
        <v>579</v>
      </c>
      <c r="AJ216" s="133"/>
      <c r="AK216" s="133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33"/>
      <c r="CG216" s="179"/>
      <c r="CH216" s="197"/>
      <c r="CI216" s="180"/>
      <c r="CJ216" s="180"/>
      <c r="CK216" s="180"/>
      <c r="CL216" s="180"/>
      <c r="CM216" s="180"/>
      <c r="CN216" s="180"/>
      <c r="CO216" s="180"/>
      <c r="CP216" s="180"/>
      <c r="CQ216" s="180"/>
      <c r="CR216" s="180"/>
      <c r="CS216" s="180"/>
      <c r="CT216" s="180"/>
      <c r="CU216" s="180"/>
      <c r="CV216" s="173"/>
      <c r="CW216" s="173"/>
      <c r="CX216" s="173"/>
      <c r="CY216" s="173"/>
      <c r="CZ216" s="173"/>
      <c r="DA216" s="198"/>
      <c r="DC216" s="197"/>
      <c r="DD216" s="180"/>
      <c r="DE216" s="180"/>
      <c r="DF216" s="180"/>
      <c r="DG216" s="180"/>
      <c r="DH216" s="180"/>
      <c r="DI216" s="180"/>
      <c r="DJ216" s="180"/>
      <c r="DK216" s="180"/>
      <c r="DL216" s="180"/>
      <c r="DM216" s="180"/>
      <c r="DN216" s="180"/>
      <c r="DO216" s="180"/>
      <c r="DP216" s="180"/>
      <c r="DQ216" s="173"/>
      <c r="DR216" s="173"/>
      <c r="DS216" s="173"/>
      <c r="DT216" s="173"/>
      <c r="DU216" s="173"/>
      <c r="DV216" s="198"/>
    </row>
    <row r="217" spans="1:126" x14ac:dyDescent="0.2">
      <c r="A217" s="143" t="s">
        <v>580</v>
      </c>
      <c r="AJ217" s="133"/>
      <c r="AK217" s="133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33"/>
      <c r="CG217" s="179"/>
      <c r="CH217" s="197"/>
      <c r="CI217" s="180"/>
      <c r="CJ217" s="180"/>
      <c r="CK217" s="180"/>
      <c r="CL217" s="180"/>
      <c r="CM217" s="180"/>
      <c r="CN217" s="180"/>
      <c r="CO217" s="180"/>
      <c r="CP217" s="180"/>
      <c r="CQ217" s="180"/>
      <c r="CR217" s="180"/>
      <c r="CS217" s="180"/>
      <c r="CT217" s="180"/>
      <c r="CU217" s="180"/>
      <c r="CV217" s="173"/>
      <c r="CW217" s="173"/>
      <c r="CX217" s="173"/>
      <c r="CY217" s="173"/>
      <c r="CZ217" s="173"/>
      <c r="DA217" s="198"/>
      <c r="DC217" s="197"/>
      <c r="DD217" s="180"/>
      <c r="DE217" s="180"/>
      <c r="DF217" s="180"/>
      <c r="DG217" s="180"/>
      <c r="DH217" s="180"/>
      <c r="DI217" s="180"/>
      <c r="DJ217" s="180"/>
      <c r="DK217" s="180"/>
      <c r="DL217" s="180"/>
      <c r="DM217" s="180"/>
      <c r="DN217" s="180"/>
      <c r="DO217" s="180"/>
      <c r="DP217" s="180"/>
      <c r="DQ217" s="173"/>
      <c r="DR217" s="173"/>
      <c r="DS217" s="173"/>
      <c r="DT217" s="173"/>
      <c r="DU217" s="173"/>
      <c r="DV217" s="198"/>
    </row>
    <row r="218" spans="1:126" x14ac:dyDescent="0.2">
      <c r="A218" s="142" t="s">
        <v>581</v>
      </c>
      <c r="AJ218" s="133"/>
      <c r="AK218" s="133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33"/>
      <c r="CG218" s="176"/>
      <c r="CH218" s="197"/>
      <c r="CI218" s="180"/>
      <c r="CJ218" s="180"/>
      <c r="CK218" s="180"/>
      <c r="CL218" s="180"/>
      <c r="CM218" s="180"/>
      <c r="CN218" s="180"/>
      <c r="CO218" s="180"/>
      <c r="CP218" s="180"/>
      <c r="CQ218" s="180"/>
      <c r="CR218" s="180"/>
      <c r="CS218" s="180"/>
      <c r="CT218" s="180"/>
      <c r="CU218" s="180"/>
      <c r="CV218" s="173"/>
      <c r="CW218" s="173"/>
      <c r="CX218" s="173"/>
      <c r="CY218" s="173"/>
      <c r="CZ218" s="173"/>
      <c r="DA218" s="198"/>
      <c r="DC218" s="197"/>
      <c r="DD218" s="180"/>
      <c r="DE218" s="180"/>
      <c r="DF218" s="180"/>
      <c r="DG218" s="180"/>
      <c r="DH218" s="180"/>
      <c r="DI218" s="180"/>
      <c r="DJ218" s="180"/>
      <c r="DK218" s="180"/>
      <c r="DL218" s="180"/>
      <c r="DM218" s="180"/>
      <c r="DN218" s="180"/>
      <c r="DO218" s="180"/>
      <c r="DP218" s="180"/>
      <c r="DQ218" s="173"/>
      <c r="DR218" s="173"/>
      <c r="DS218" s="173"/>
      <c r="DT218" s="173"/>
      <c r="DU218" s="173"/>
      <c r="DV218" s="198"/>
    </row>
    <row r="219" spans="1:126" x14ac:dyDescent="0.2">
      <c r="A219" s="143" t="s">
        <v>582</v>
      </c>
      <c r="AJ219" s="133"/>
      <c r="AK219" s="133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33"/>
      <c r="CG219" s="176"/>
      <c r="CH219" s="197"/>
      <c r="CI219" s="180"/>
      <c r="CJ219" s="180"/>
      <c r="CK219" s="180"/>
      <c r="CL219" s="180"/>
      <c r="CM219" s="180"/>
      <c r="CN219" s="180"/>
      <c r="CO219" s="180"/>
      <c r="CP219" s="180"/>
      <c r="CQ219" s="180"/>
      <c r="CR219" s="180"/>
      <c r="CS219" s="180"/>
      <c r="CT219" s="180"/>
      <c r="CU219" s="180"/>
      <c r="CV219" s="173"/>
      <c r="CW219" s="173"/>
      <c r="CX219" s="173"/>
      <c r="CY219" s="173"/>
      <c r="CZ219" s="173"/>
      <c r="DA219" s="198"/>
      <c r="DC219" s="197"/>
      <c r="DD219" s="180"/>
      <c r="DE219" s="180"/>
      <c r="DF219" s="180"/>
      <c r="DG219" s="180"/>
      <c r="DH219" s="180"/>
      <c r="DI219" s="180"/>
      <c r="DJ219" s="180"/>
      <c r="DK219" s="180"/>
      <c r="DL219" s="180"/>
      <c r="DM219" s="180"/>
      <c r="DN219" s="180"/>
      <c r="DO219" s="180"/>
      <c r="DP219" s="180"/>
      <c r="DQ219" s="173"/>
      <c r="DR219" s="173"/>
      <c r="DS219" s="173"/>
      <c r="DT219" s="173"/>
      <c r="DU219" s="173"/>
      <c r="DV219" s="198"/>
    </row>
    <row r="220" spans="1:126" x14ac:dyDescent="0.2">
      <c r="A220" s="143" t="s">
        <v>583</v>
      </c>
      <c r="AJ220" s="133"/>
      <c r="AK220" s="133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33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33"/>
      <c r="CG220" s="176"/>
      <c r="CH220" s="199"/>
      <c r="CI220" s="200"/>
      <c r="CJ220" s="200"/>
      <c r="CK220" s="200"/>
      <c r="CL220" s="200"/>
      <c r="CM220" s="200"/>
      <c r="CN220" s="200"/>
      <c r="CO220" s="200"/>
      <c r="CP220" s="200"/>
      <c r="CQ220" s="201"/>
      <c r="CR220" s="202"/>
      <c r="CS220" s="200"/>
      <c r="CT220" s="200"/>
      <c r="CU220" s="200"/>
      <c r="CV220" s="203"/>
      <c r="CW220" s="203"/>
      <c r="CX220" s="203"/>
      <c r="CY220" s="203"/>
      <c r="CZ220" s="203"/>
      <c r="DA220" s="204"/>
      <c r="DC220" s="199"/>
      <c r="DD220" s="200"/>
      <c r="DE220" s="200"/>
      <c r="DF220" s="200"/>
      <c r="DG220" s="200"/>
      <c r="DH220" s="200"/>
      <c r="DI220" s="200"/>
      <c r="DJ220" s="200"/>
      <c r="DK220" s="200"/>
      <c r="DL220" s="200"/>
      <c r="DM220" s="200"/>
      <c r="DN220" s="200"/>
      <c r="DO220" s="200"/>
      <c r="DP220" s="200"/>
      <c r="DQ220" s="203"/>
      <c r="DR220" s="203"/>
      <c r="DS220" s="203"/>
      <c r="DT220" s="203"/>
      <c r="DU220" s="203"/>
      <c r="DV220" s="204"/>
    </row>
    <row r="221" spans="1:126" x14ac:dyDescent="0.2">
      <c r="A221" s="143" t="s">
        <v>584</v>
      </c>
      <c r="AJ221" s="133"/>
      <c r="AK221" s="133"/>
      <c r="AL221" s="183"/>
      <c r="AM221" s="183"/>
      <c r="AN221" s="183"/>
      <c r="AO221" s="183"/>
      <c r="AP221" s="183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33"/>
      <c r="CG221" s="176">
        <v>12</v>
      </c>
      <c r="CH221" s="192"/>
      <c r="CI221" s="193"/>
      <c r="CJ221" s="193"/>
      <c r="CK221" s="193"/>
      <c r="CL221" s="193"/>
      <c r="CM221" s="193"/>
      <c r="CN221" s="193"/>
      <c r="CO221" s="193"/>
      <c r="CP221" s="193"/>
      <c r="CQ221" s="193"/>
      <c r="CR221" s="193"/>
      <c r="CS221" s="193"/>
      <c r="CT221" s="193"/>
      <c r="CU221" s="193"/>
      <c r="CV221" s="194"/>
      <c r="CW221" s="194"/>
      <c r="CX221" s="194"/>
      <c r="CY221" s="194"/>
      <c r="CZ221" s="194"/>
      <c r="DA221" s="195"/>
      <c r="DC221" s="192"/>
      <c r="DD221" s="193"/>
      <c r="DE221" s="193"/>
      <c r="DF221" s="193"/>
      <c r="DG221" s="193"/>
      <c r="DH221" s="193"/>
      <c r="DI221" s="193"/>
      <c r="DJ221" s="193"/>
      <c r="DK221" s="193"/>
      <c r="DL221" s="193"/>
      <c r="DM221" s="193"/>
      <c r="DN221" s="193"/>
      <c r="DO221" s="193"/>
      <c r="DP221" s="193"/>
      <c r="DQ221" s="194"/>
      <c r="DR221" s="194"/>
      <c r="DS221" s="194"/>
      <c r="DT221" s="194"/>
      <c r="DU221" s="194"/>
      <c r="DV221" s="195"/>
    </row>
    <row r="222" spans="1:126" x14ac:dyDescent="0.2">
      <c r="A222" s="143" t="s">
        <v>585</v>
      </c>
      <c r="AJ222" s="133"/>
      <c r="AK222" s="133"/>
      <c r="AL222" s="183"/>
      <c r="AM222" s="183"/>
      <c r="AN222" s="183"/>
      <c r="AO222" s="183"/>
      <c r="AP222" s="183"/>
      <c r="AQ222" s="183"/>
      <c r="AR222" s="183"/>
      <c r="AS222" s="183"/>
      <c r="AT222" s="183"/>
      <c r="AU222" s="183"/>
      <c r="AV222" s="183"/>
      <c r="AW222" s="183"/>
      <c r="AX222" s="183"/>
      <c r="AY222" s="183"/>
      <c r="AZ222" s="183"/>
      <c r="BA222" s="183"/>
      <c r="BB222" s="183"/>
      <c r="BC222" s="183"/>
      <c r="BD222" s="183"/>
      <c r="BE222" s="183"/>
      <c r="BF222" s="133"/>
      <c r="CG222" s="176"/>
      <c r="CH222" s="169"/>
      <c r="CI222" s="177"/>
      <c r="CJ222" s="177"/>
      <c r="CK222" s="177"/>
      <c r="CL222" s="177"/>
      <c r="CM222" s="177"/>
      <c r="CN222" s="177"/>
      <c r="CO222" s="177"/>
      <c r="CP222" s="177"/>
      <c r="CQ222" s="177"/>
      <c r="CR222" s="177"/>
      <c r="CS222" s="177"/>
      <c r="CT222" s="177"/>
      <c r="CU222" s="177"/>
      <c r="CV222" s="172"/>
      <c r="CW222" s="172"/>
      <c r="CX222" s="172"/>
      <c r="CY222" s="172"/>
      <c r="CZ222" s="172"/>
      <c r="DA222" s="196"/>
      <c r="DC222" s="169"/>
      <c r="DD222" s="177"/>
      <c r="DE222" s="177"/>
      <c r="DF222" s="177"/>
      <c r="DG222" s="177"/>
      <c r="DH222" s="177"/>
      <c r="DI222" s="177"/>
      <c r="DJ222" s="177"/>
      <c r="DK222" s="177"/>
      <c r="DL222" s="177"/>
      <c r="DM222" s="177"/>
      <c r="DN222" s="177"/>
      <c r="DO222" s="177"/>
      <c r="DP222" s="177"/>
      <c r="DQ222" s="172"/>
      <c r="DR222" s="172"/>
      <c r="DS222" s="172"/>
      <c r="DT222" s="172"/>
      <c r="DU222" s="172"/>
      <c r="DV222" s="196"/>
    </row>
    <row r="223" spans="1:126" x14ac:dyDescent="0.2">
      <c r="A223" s="143" t="s">
        <v>586</v>
      </c>
      <c r="AJ223" s="133"/>
      <c r="AK223" s="133"/>
      <c r="AL223" s="183"/>
      <c r="AM223" s="183"/>
      <c r="AN223" s="183"/>
      <c r="AO223" s="183"/>
      <c r="AP223" s="183"/>
      <c r="AQ223" s="183"/>
      <c r="AR223" s="183"/>
      <c r="AS223" s="183"/>
      <c r="AT223" s="183"/>
      <c r="AU223" s="183"/>
      <c r="AV223" s="183"/>
      <c r="AW223" s="183"/>
      <c r="AX223" s="183"/>
      <c r="AY223" s="183"/>
      <c r="AZ223" s="183"/>
      <c r="BA223" s="183"/>
      <c r="BB223" s="183"/>
      <c r="BC223" s="183"/>
      <c r="BD223" s="183"/>
      <c r="BE223" s="183"/>
      <c r="BF223" s="133"/>
      <c r="CG223" s="131"/>
      <c r="CH223" s="169"/>
      <c r="CI223" s="177"/>
      <c r="CJ223" s="177"/>
      <c r="CK223" s="177"/>
      <c r="CL223" s="177"/>
      <c r="CM223" s="177"/>
      <c r="CN223" s="177"/>
      <c r="CO223" s="177"/>
      <c r="CP223" s="177"/>
      <c r="CQ223" s="177"/>
      <c r="CR223" s="177"/>
      <c r="CS223" s="177"/>
      <c r="CT223" s="177"/>
      <c r="CU223" s="177"/>
      <c r="CV223" s="172"/>
      <c r="CW223" s="172"/>
      <c r="CX223" s="172"/>
      <c r="CY223" s="172"/>
      <c r="CZ223" s="172"/>
      <c r="DA223" s="196"/>
      <c r="DC223" s="169"/>
      <c r="DD223" s="177"/>
      <c r="DE223" s="177"/>
      <c r="DF223" s="177"/>
      <c r="DG223" s="177"/>
      <c r="DH223" s="177"/>
      <c r="DI223" s="177"/>
      <c r="DJ223" s="177"/>
      <c r="DK223" s="177"/>
      <c r="DL223" s="177"/>
      <c r="DM223" s="177"/>
      <c r="DN223" s="177"/>
      <c r="DO223" s="177"/>
      <c r="DP223" s="177"/>
      <c r="DQ223" s="172"/>
      <c r="DR223" s="172"/>
      <c r="DS223" s="172"/>
      <c r="DT223" s="172"/>
      <c r="DU223" s="172"/>
      <c r="DV223" s="196"/>
    </row>
    <row r="224" spans="1:126" x14ac:dyDescent="0.2">
      <c r="A224" s="143" t="s">
        <v>587</v>
      </c>
      <c r="AJ224" s="133"/>
      <c r="AK224" s="133"/>
      <c r="AL224" s="183"/>
      <c r="AM224" s="183"/>
      <c r="AN224" s="183"/>
      <c r="AO224" s="183"/>
      <c r="AP224" s="183"/>
      <c r="AQ224" s="183"/>
      <c r="AR224" s="183"/>
      <c r="AS224" s="183"/>
      <c r="AT224" s="183"/>
      <c r="AU224" s="183"/>
      <c r="AV224" s="183"/>
      <c r="AW224" s="183"/>
      <c r="AX224" s="183"/>
      <c r="AY224" s="183"/>
      <c r="AZ224" s="183"/>
      <c r="BA224" s="183"/>
      <c r="BB224" s="183"/>
      <c r="BC224" s="183"/>
      <c r="BD224" s="183"/>
      <c r="BE224" s="183"/>
      <c r="BF224" s="133"/>
      <c r="CG224" s="176"/>
      <c r="CH224" s="169"/>
      <c r="CI224" s="177"/>
      <c r="CJ224" s="177"/>
      <c r="CK224" s="177"/>
      <c r="CL224" s="177"/>
      <c r="CM224" s="177"/>
      <c r="CN224" s="177"/>
      <c r="CO224" s="177"/>
      <c r="CP224" s="177"/>
      <c r="CQ224" s="177"/>
      <c r="CR224" s="177"/>
      <c r="CS224" s="177"/>
      <c r="CT224" s="177"/>
      <c r="CU224" s="177"/>
      <c r="CV224" s="172"/>
      <c r="CW224" s="172"/>
      <c r="CX224" s="172"/>
      <c r="CY224" s="172"/>
      <c r="CZ224" s="172"/>
      <c r="DA224" s="196"/>
      <c r="DC224" s="169"/>
      <c r="DD224" s="177"/>
      <c r="DE224" s="177"/>
      <c r="DF224" s="177"/>
      <c r="DG224" s="177"/>
      <c r="DH224" s="177"/>
      <c r="DI224" s="177"/>
      <c r="DJ224" s="177"/>
      <c r="DK224" s="177"/>
      <c r="DL224" s="177"/>
      <c r="DM224" s="177"/>
      <c r="DN224" s="177"/>
      <c r="DO224" s="177"/>
      <c r="DP224" s="177"/>
      <c r="DQ224" s="172"/>
      <c r="DR224" s="172"/>
      <c r="DS224" s="172"/>
      <c r="DT224" s="172"/>
      <c r="DU224" s="172"/>
      <c r="DV224" s="196"/>
    </row>
    <row r="225" spans="1:126" x14ac:dyDescent="0.2">
      <c r="A225" s="143" t="s">
        <v>588</v>
      </c>
      <c r="AJ225" s="133"/>
      <c r="AK225" s="133"/>
      <c r="AL225" s="183"/>
      <c r="AM225" s="183"/>
      <c r="AN225" s="183"/>
      <c r="AO225" s="183"/>
      <c r="AP225" s="183"/>
      <c r="AQ225" s="183"/>
      <c r="AR225" s="183"/>
      <c r="AS225" s="183"/>
      <c r="AT225" s="183"/>
      <c r="AU225" s="183"/>
      <c r="AV225" s="183"/>
      <c r="AW225" s="183"/>
      <c r="AX225" s="183"/>
      <c r="AY225" s="183"/>
      <c r="AZ225" s="183"/>
      <c r="BA225" s="183"/>
      <c r="BB225" s="183"/>
      <c r="BC225" s="183"/>
      <c r="BD225" s="183"/>
      <c r="BE225" s="183"/>
      <c r="BF225" s="133"/>
      <c r="CG225" s="178"/>
      <c r="CH225" s="169"/>
      <c r="CI225" s="177"/>
      <c r="CJ225" s="177"/>
      <c r="CK225" s="177"/>
      <c r="CL225" s="177"/>
      <c r="CM225" s="177"/>
      <c r="CN225" s="177"/>
      <c r="CO225" s="177"/>
      <c r="CP225" s="177"/>
      <c r="CQ225" s="177"/>
      <c r="CR225" s="177"/>
      <c r="CS225" s="177"/>
      <c r="CT225" s="177"/>
      <c r="CU225" s="177"/>
      <c r="CV225" s="172"/>
      <c r="CW225" s="172"/>
      <c r="CX225" s="172"/>
      <c r="CY225" s="172"/>
      <c r="CZ225" s="172"/>
      <c r="DA225" s="196"/>
      <c r="DC225" s="169"/>
      <c r="DD225" s="177"/>
      <c r="DE225" s="177"/>
      <c r="DF225" s="177"/>
      <c r="DG225" s="177"/>
      <c r="DH225" s="177"/>
      <c r="DI225" s="177"/>
      <c r="DJ225" s="177"/>
      <c r="DK225" s="177"/>
      <c r="DL225" s="177"/>
      <c r="DM225" s="177"/>
      <c r="DN225" s="177"/>
      <c r="DO225" s="177"/>
      <c r="DP225" s="177"/>
      <c r="DQ225" s="172"/>
      <c r="DR225" s="172"/>
      <c r="DS225" s="172"/>
      <c r="DT225" s="172"/>
      <c r="DU225" s="172"/>
      <c r="DV225" s="196"/>
    </row>
    <row r="226" spans="1:126" x14ac:dyDescent="0.2">
      <c r="A226" s="143" t="s">
        <v>589</v>
      </c>
      <c r="AJ226" s="133"/>
      <c r="AK226" s="133"/>
      <c r="AL226" s="183"/>
      <c r="AM226" s="183"/>
      <c r="AN226" s="183"/>
      <c r="AO226" s="183"/>
      <c r="AP226" s="183"/>
      <c r="AQ226" s="183"/>
      <c r="AR226" s="183"/>
      <c r="AS226" s="183"/>
      <c r="AT226" s="183"/>
      <c r="AU226" s="183"/>
      <c r="AV226" s="183"/>
      <c r="AW226" s="183"/>
      <c r="AX226" s="183"/>
      <c r="AY226" s="183"/>
      <c r="AZ226" s="183"/>
      <c r="BA226" s="183"/>
      <c r="BB226" s="183"/>
      <c r="BC226" s="183"/>
      <c r="BD226" s="183"/>
      <c r="BE226" s="183"/>
      <c r="BF226" s="133"/>
      <c r="CG226" s="179"/>
      <c r="CH226" s="169"/>
      <c r="CI226" s="177"/>
      <c r="CJ226" s="177"/>
      <c r="CK226" s="177"/>
      <c r="CL226" s="177"/>
      <c r="CM226" s="177"/>
      <c r="CN226" s="177"/>
      <c r="CO226" s="177"/>
      <c r="CP226" s="177"/>
      <c r="CQ226" s="177"/>
      <c r="CR226" s="177"/>
      <c r="CS226" s="177"/>
      <c r="CT226" s="177"/>
      <c r="CU226" s="177"/>
      <c r="CV226" s="172"/>
      <c r="CW226" s="172"/>
      <c r="CX226" s="172"/>
      <c r="CY226" s="172"/>
      <c r="CZ226" s="172"/>
      <c r="DA226" s="196"/>
      <c r="DC226" s="169"/>
      <c r="DD226" s="177"/>
      <c r="DE226" s="177"/>
      <c r="DF226" s="177"/>
      <c r="DG226" s="177"/>
      <c r="DH226" s="177"/>
      <c r="DI226" s="177"/>
      <c r="DJ226" s="177"/>
      <c r="DK226" s="177"/>
      <c r="DL226" s="177"/>
      <c r="DM226" s="177"/>
      <c r="DN226" s="177"/>
      <c r="DO226" s="177"/>
      <c r="DP226" s="177"/>
      <c r="DQ226" s="172"/>
      <c r="DR226" s="172"/>
      <c r="DS226" s="172"/>
      <c r="DT226" s="172"/>
      <c r="DU226" s="172"/>
      <c r="DV226" s="196"/>
    </row>
    <row r="227" spans="1:126" x14ac:dyDescent="0.2">
      <c r="A227" s="143" t="s">
        <v>590</v>
      </c>
      <c r="AJ227" s="133"/>
      <c r="AK227" s="133"/>
      <c r="AL227" s="183"/>
      <c r="AM227" s="183"/>
      <c r="AN227" s="183"/>
      <c r="AO227" s="183"/>
      <c r="AP227" s="183"/>
      <c r="AQ227" s="183"/>
      <c r="AR227" s="183"/>
      <c r="AS227" s="183"/>
      <c r="AT227" s="183"/>
      <c r="AU227" s="183"/>
      <c r="AV227" s="183"/>
      <c r="AW227" s="183"/>
      <c r="AX227" s="183"/>
      <c r="AY227" s="183"/>
      <c r="AZ227" s="183"/>
      <c r="BA227" s="183"/>
      <c r="BB227" s="183"/>
      <c r="BC227" s="183"/>
      <c r="BD227" s="183"/>
      <c r="BE227" s="183"/>
      <c r="BF227" s="133"/>
      <c r="CG227" s="179"/>
      <c r="CH227" s="169"/>
      <c r="CI227" s="177"/>
      <c r="CJ227" s="177"/>
      <c r="CK227" s="177"/>
      <c r="CL227" s="177"/>
      <c r="CM227" s="177"/>
      <c r="CN227" s="177"/>
      <c r="CO227" s="177"/>
      <c r="CP227" s="177"/>
      <c r="CQ227" s="177"/>
      <c r="CR227" s="177"/>
      <c r="CS227" s="177"/>
      <c r="CT227" s="177"/>
      <c r="CU227" s="177"/>
      <c r="CV227" s="172"/>
      <c r="CW227" s="172"/>
      <c r="CX227" s="172"/>
      <c r="CY227" s="172"/>
      <c r="CZ227" s="172"/>
      <c r="DA227" s="196"/>
      <c r="DC227" s="169"/>
      <c r="DD227" s="177"/>
      <c r="DE227" s="177"/>
      <c r="DF227" s="177"/>
      <c r="DG227" s="177"/>
      <c r="DH227" s="177"/>
      <c r="DI227" s="177"/>
      <c r="DJ227" s="177"/>
      <c r="DK227" s="177"/>
      <c r="DL227" s="177"/>
      <c r="DM227" s="177"/>
      <c r="DN227" s="177"/>
      <c r="DO227" s="177"/>
      <c r="DP227" s="177"/>
      <c r="DQ227" s="172"/>
      <c r="DR227" s="172"/>
      <c r="DS227" s="172"/>
      <c r="DT227" s="172"/>
      <c r="DU227" s="172"/>
      <c r="DV227" s="196"/>
    </row>
    <row r="228" spans="1:126" x14ac:dyDescent="0.2">
      <c r="A228" s="143" t="s">
        <v>591</v>
      </c>
      <c r="AJ228" s="133"/>
      <c r="AK228" s="133"/>
      <c r="AL228" s="183"/>
      <c r="AM228" s="183"/>
      <c r="AN228" s="183"/>
      <c r="AO228" s="183"/>
      <c r="AP228" s="183"/>
      <c r="AQ228" s="183"/>
      <c r="AR228" s="183"/>
      <c r="AS228" s="183"/>
      <c r="AT228" s="183"/>
      <c r="AU228" s="183"/>
      <c r="AV228" s="183"/>
      <c r="AW228" s="183"/>
      <c r="AX228" s="183"/>
      <c r="AY228" s="183"/>
      <c r="AZ228" s="183"/>
      <c r="BA228" s="183"/>
      <c r="BB228" s="183"/>
      <c r="BC228" s="183"/>
      <c r="BD228" s="183"/>
      <c r="BE228" s="183"/>
      <c r="BF228" s="133"/>
      <c r="CG228" s="179"/>
      <c r="CH228" s="169"/>
      <c r="CI228" s="177"/>
      <c r="CJ228" s="177"/>
      <c r="CK228" s="177"/>
      <c r="CL228" s="177"/>
      <c r="CM228" s="177"/>
      <c r="CN228" s="177"/>
      <c r="CO228" s="177"/>
      <c r="CP228" s="177"/>
      <c r="CQ228" s="177"/>
      <c r="CR228" s="177"/>
      <c r="CS228" s="177"/>
      <c r="CT228" s="177"/>
      <c r="CU228" s="177"/>
      <c r="CV228" s="172"/>
      <c r="CW228" s="172"/>
      <c r="CX228" s="172"/>
      <c r="CY228" s="172"/>
      <c r="CZ228" s="172"/>
      <c r="DA228" s="196"/>
      <c r="DC228" s="169"/>
      <c r="DD228" s="177"/>
      <c r="DE228" s="177"/>
      <c r="DF228" s="177"/>
      <c r="DG228" s="177"/>
      <c r="DH228" s="177"/>
      <c r="DI228" s="177"/>
      <c r="DJ228" s="177"/>
      <c r="DK228" s="177"/>
      <c r="DL228" s="177"/>
      <c r="DM228" s="177"/>
      <c r="DN228" s="177"/>
      <c r="DO228" s="177"/>
      <c r="DP228" s="177"/>
      <c r="DQ228" s="172"/>
      <c r="DR228" s="172"/>
      <c r="DS228" s="172"/>
      <c r="DT228" s="172"/>
      <c r="DU228" s="172"/>
      <c r="DV228" s="196"/>
    </row>
    <row r="229" spans="1:126" x14ac:dyDescent="0.2">
      <c r="A229" s="143" t="s">
        <v>592</v>
      </c>
      <c r="AJ229" s="133"/>
      <c r="AK229" s="133"/>
      <c r="AL229" s="183"/>
      <c r="AM229" s="183"/>
      <c r="AN229" s="183"/>
      <c r="AO229" s="183"/>
      <c r="AP229" s="183"/>
      <c r="AQ229" s="183"/>
      <c r="AR229" s="183"/>
      <c r="AS229" s="183"/>
      <c r="AT229" s="183"/>
      <c r="AU229" s="183"/>
      <c r="AV229" s="183"/>
      <c r="AW229" s="183"/>
      <c r="AX229" s="183"/>
      <c r="AY229" s="183"/>
      <c r="AZ229" s="183"/>
      <c r="BA229" s="183"/>
      <c r="BB229" s="183"/>
      <c r="BC229" s="183"/>
      <c r="BD229" s="183"/>
      <c r="BE229" s="183"/>
      <c r="BF229" s="133"/>
      <c r="CG229" s="179"/>
      <c r="CH229" s="169"/>
      <c r="CI229" s="177"/>
      <c r="CJ229" s="177"/>
      <c r="CK229" s="177"/>
      <c r="CL229" s="177"/>
      <c r="CM229" s="177"/>
      <c r="CN229" s="177"/>
      <c r="CO229" s="177"/>
      <c r="CP229" s="177"/>
      <c r="CQ229" s="177"/>
      <c r="CR229" s="177"/>
      <c r="CS229" s="177"/>
      <c r="CT229" s="177"/>
      <c r="CU229" s="177"/>
      <c r="CV229" s="172"/>
      <c r="CW229" s="172"/>
      <c r="CX229" s="172"/>
      <c r="CY229" s="172"/>
      <c r="CZ229" s="172"/>
      <c r="DA229" s="196"/>
      <c r="DC229" s="169"/>
      <c r="DD229" s="177"/>
      <c r="DE229" s="177"/>
      <c r="DF229" s="177"/>
      <c r="DG229" s="177"/>
      <c r="DH229" s="177"/>
      <c r="DI229" s="177"/>
      <c r="DJ229" s="177"/>
      <c r="DK229" s="177"/>
      <c r="DL229" s="177"/>
      <c r="DM229" s="177"/>
      <c r="DN229" s="177"/>
      <c r="DO229" s="177"/>
      <c r="DP229" s="177"/>
      <c r="DQ229" s="172"/>
      <c r="DR229" s="172"/>
      <c r="DS229" s="172"/>
      <c r="DT229" s="172"/>
      <c r="DU229" s="172"/>
      <c r="DV229" s="196"/>
    </row>
    <row r="230" spans="1:126" x14ac:dyDescent="0.2">
      <c r="A230" s="143" t="s">
        <v>593</v>
      </c>
      <c r="AJ230" s="133"/>
      <c r="AK230" s="133"/>
      <c r="AL230" s="183"/>
      <c r="AM230" s="183"/>
      <c r="AN230" s="183"/>
      <c r="AO230" s="183"/>
      <c r="AP230" s="183"/>
      <c r="AQ230" s="183"/>
      <c r="AR230" s="183"/>
      <c r="AS230" s="183"/>
      <c r="AT230" s="183"/>
      <c r="AU230" s="183"/>
      <c r="AV230" s="183"/>
      <c r="AW230" s="183"/>
      <c r="AX230" s="183"/>
      <c r="AY230" s="183"/>
      <c r="AZ230" s="183"/>
      <c r="BA230" s="183"/>
      <c r="BB230" s="183"/>
      <c r="BC230" s="183"/>
      <c r="BD230" s="183"/>
      <c r="BE230" s="183"/>
      <c r="BF230" s="133"/>
      <c r="CG230" s="179"/>
      <c r="CH230" s="169"/>
      <c r="CI230" s="177"/>
      <c r="CJ230" s="177"/>
      <c r="CK230" s="177"/>
      <c r="CL230" s="177"/>
      <c r="CM230" s="177"/>
      <c r="CN230" s="177"/>
      <c r="CO230" s="177"/>
      <c r="CP230" s="177"/>
      <c r="CQ230" s="177"/>
      <c r="CR230" s="177"/>
      <c r="CS230" s="177"/>
      <c r="CT230" s="177"/>
      <c r="CU230" s="177"/>
      <c r="CV230" s="172"/>
      <c r="CW230" s="172"/>
      <c r="CX230" s="172"/>
      <c r="CY230" s="172"/>
      <c r="CZ230" s="172"/>
      <c r="DA230" s="196"/>
      <c r="DC230" s="169"/>
      <c r="DD230" s="177"/>
      <c r="DE230" s="177"/>
      <c r="DF230" s="177"/>
      <c r="DG230" s="177"/>
      <c r="DH230" s="177"/>
      <c r="DI230" s="177"/>
      <c r="DJ230" s="177"/>
      <c r="DK230" s="177"/>
      <c r="DL230" s="177"/>
      <c r="DM230" s="177"/>
      <c r="DN230" s="177"/>
      <c r="DO230" s="177"/>
      <c r="DP230" s="177"/>
      <c r="DQ230" s="172"/>
      <c r="DR230" s="172"/>
      <c r="DS230" s="172"/>
      <c r="DT230" s="172"/>
      <c r="DU230" s="172"/>
      <c r="DV230" s="196"/>
    </row>
    <row r="231" spans="1:126" x14ac:dyDescent="0.2">
      <c r="A231" s="143" t="s">
        <v>594</v>
      </c>
      <c r="AJ231" s="133"/>
      <c r="AK231" s="133"/>
      <c r="AL231" s="183"/>
      <c r="AM231" s="183"/>
      <c r="AN231" s="183"/>
      <c r="AO231" s="183"/>
      <c r="AP231" s="183"/>
      <c r="AQ231" s="183"/>
      <c r="AR231" s="183"/>
      <c r="AS231" s="183"/>
      <c r="AT231" s="183"/>
      <c r="AU231" s="183"/>
      <c r="AV231" s="183"/>
      <c r="AW231" s="183"/>
      <c r="AX231" s="183"/>
      <c r="AY231" s="183"/>
      <c r="AZ231" s="183"/>
      <c r="BA231" s="183"/>
      <c r="BB231" s="183"/>
      <c r="BC231" s="183"/>
      <c r="BD231" s="183"/>
      <c r="BE231" s="183"/>
      <c r="BF231" s="133"/>
      <c r="CG231" s="179"/>
      <c r="CH231" s="169"/>
      <c r="CI231" s="177"/>
      <c r="CJ231" s="177"/>
      <c r="CK231" s="177"/>
      <c r="CL231" s="177"/>
      <c r="CM231" s="177"/>
      <c r="CN231" s="177"/>
      <c r="CO231" s="177"/>
      <c r="CP231" s="177"/>
      <c r="CQ231" s="177"/>
      <c r="CR231" s="177"/>
      <c r="CS231" s="177"/>
      <c r="CT231" s="177"/>
      <c r="CU231" s="177"/>
      <c r="CV231" s="172"/>
      <c r="CW231" s="172"/>
      <c r="CX231" s="172"/>
      <c r="CY231" s="172"/>
      <c r="CZ231" s="172"/>
      <c r="DA231" s="196"/>
      <c r="DC231" s="169"/>
      <c r="DD231" s="177"/>
      <c r="DE231" s="177"/>
      <c r="DF231" s="177"/>
      <c r="DG231" s="177"/>
      <c r="DH231" s="177"/>
      <c r="DI231" s="177"/>
      <c r="DJ231" s="177"/>
      <c r="DK231" s="177"/>
      <c r="DL231" s="177"/>
      <c r="DM231" s="177"/>
      <c r="DN231" s="177"/>
      <c r="DO231" s="177"/>
      <c r="DP231" s="177"/>
      <c r="DQ231" s="172"/>
      <c r="DR231" s="172"/>
      <c r="DS231" s="172"/>
      <c r="DT231" s="172"/>
      <c r="DU231" s="172"/>
      <c r="DV231" s="196"/>
    </row>
    <row r="232" spans="1:126" x14ac:dyDescent="0.2">
      <c r="A232" s="143" t="s">
        <v>595</v>
      </c>
      <c r="AJ232" s="133"/>
      <c r="AK232" s="133"/>
      <c r="AL232" s="183"/>
      <c r="AM232" s="183"/>
      <c r="AN232" s="183"/>
      <c r="AO232" s="183"/>
      <c r="AP232" s="183"/>
      <c r="AQ232" s="183"/>
      <c r="AR232" s="183"/>
      <c r="AS232" s="183"/>
      <c r="AT232" s="183"/>
      <c r="AU232" s="183"/>
      <c r="AV232" s="183"/>
      <c r="AW232" s="183"/>
      <c r="AX232" s="183"/>
      <c r="AY232" s="183"/>
      <c r="AZ232" s="183"/>
      <c r="BA232" s="183"/>
      <c r="BB232" s="183"/>
      <c r="BC232" s="183"/>
      <c r="BD232" s="183"/>
      <c r="BE232" s="183"/>
      <c r="BF232" s="133"/>
      <c r="CG232" s="179"/>
      <c r="CH232" s="169"/>
      <c r="CI232" s="177"/>
      <c r="CJ232" s="177"/>
      <c r="CK232" s="177"/>
      <c r="CL232" s="177"/>
      <c r="CM232" s="177"/>
      <c r="CN232" s="177"/>
      <c r="CO232" s="177"/>
      <c r="CP232" s="177"/>
      <c r="CQ232" s="177"/>
      <c r="CR232" s="177"/>
      <c r="CS232" s="177"/>
      <c r="CT232" s="177"/>
      <c r="CU232" s="177"/>
      <c r="CV232" s="172"/>
      <c r="CW232" s="172"/>
      <c r="CX232" s="172"/>
      <c r="CY232" s="172"/>
      <c r="CZ232" s="172"/>
      <c r="DA232" s="196"/>
      <c r="DC232" s="169"/>
      <c r="DD232" s="177"/>
      <c r="DE232" s="177"/>
      <c r="DF232" s="177"/>
      <c r="DG232" s="177"/>
      <c r="DH232" s="177"/>
      <c r="DI232" s="177"/>
      <c r="DJ232" s="177"/>
      <c r="DK232" s="177"/>
      <c r="DL232" s="177"/>
      <c r="DM232" s="177"/>
      <c r="DN232" s="177"/>
      <c r="DO232" s="177"/>
      <c r="DP232" s="177"/>
      <c r="DQ232" s="172"/>
      <c r="DR232" s="172"/>
      <c r="DS232" s="172"/>
      <c r="DT232" s="172"/>
      <c r="DU232" s="172"/>
      <c r="DV232" s="196"/>
    </row>
    <row r="233" spans="1:126" x14ac:dyDescent="0.2">
      <c r="A233" s="143" t="s">
        <v>596</v>
      </c>
      <c r="AJ233" s="133"/>
      <c r="AK233" s="133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33"/>
      <c r="CG233" s="179"/>
      <c r="CH233" s="197"/>
      <c r="CI233" s="180"/>
      <c r="CJ233" s="180"/>
      <c r="CK233" s="180"/>
      <c r="CL233" s="180"/>
      <c r="CM233" s="180"/>
      <c r="CN233" s="180"/>
      <c r="CO233" s="180"/>
      <c r="CP233" s="180"/>
      <c r="CQ233" s="180"/>
      <c r="CR233" s="180"/>
      <c r="CS233" s="180"/>
      <c r="CT233" s="180"/>
      <c r="CU233" s="180"/>
      <c r="CV233" s="173"/>
      <c r="CW233" s="173"/>
      <c r="CX233" s="173"/>
      <c r="CY233" s="173"/>
      <c r="CZ233" s="173"/>
      <c r="DA233" s="198"/>
      <c r="DC233" s="197"/>
      <c r="DD233" s="180"/>
      <c r="DE233" s="180"/>
      <c r="DF233" s="180"/>
      <c r="DG233" s="180"/>
      <c r="DH233" s="180"/>
      <c r="DI233" s="180"/>
      <c r="DJ233" s="180"/>
      <c r="DK233" s="180"/>
      <c r="DL233" s="180"/>
      <c r="DM233" s="180"/>
      <c r="DN233" s="180"/>
      <c r="DO233" s="180"/>
      <c r="DP233" s="180"/>
      <c r="DQ233" s="173"/>
      <c r="DR233" s="173"/>
      <c r="DS233" s="173"/>
      <c r="DT233" s="173"/>
      <c r="DU233" s="173"/>
      <c r="DV233" s="198"/>
    </row>
    <row r="234" spans="1:126" x14ac:dyDescent="0.2">
      <c r="A234" s="143" t="s">
        <v>597</v>
      </c>
      <c r="AJ234" s="133"/>
      <c r="AK234" s="133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33"/>
      <c r="CG234" s="179"/>
      <c r="CH234" s="197"/>
      <c r="CI234" s="180"/>
      <c r="CJ234" s="180"/>
      <c r="CK234" s="180"/>
      <c r="CL234" s="180"/>
      <c r="CM234" s="180"/>
      <c r="CN234" s="180"/>
      <c r="CO234" s="180"/>
      <c r="CP234" s="180"/>
      <c r="CQ234" s="180"/>
      <c r="CR234" s="180"/>
      <c r="CS234" s="180"/>
      <c r="CT234" s="180"/>
      <c r="CU234" s="180"/>
      <c r="CV234" s="173"/>
      <c r="CW234" s="173"/>
      <c r="CX234" s="173"/>
      <c r="CY234" s="173"/>
      <c r="CZ234" s="173"/>
      <c r="DA234" s="198"/>
      <c r="DC234" s="197"/>
      <c r="DD234" s="180"/>
      <c r="DE234" s="180"/>
      <c r="DF234" s="180"/>
      <c r="DG234" s="180"/>
      <c r="DH234" s="180"/>
      <c r="DI234" s="180"/>
      <c r="DJ234" s="180"/>
      <c r="DK234" s="180"/>
      <c r="DL234" s="180"/>
      <c r="DM234" s="180"/>
      <c r="DN234" s="180"/>
      <c r="DO234" s="180"/>
      <c r="DP234" s="180"/>
      <c r="DQ234" s="173"/>
      <c r="DR234" s="173"/>
      <c r="DS234" s="173"/>
      <c r="DT234" s="173"/>
      <c r="DU234" s="173"/>
      <c r="DV234" s="198"/>
    </row>
    <row r="235" spans="1:126" x14ac:dyDescent="0.2">
      <c r="A235" s="143" t="s">
        <v>598</v>
      </c>
      <c r="AJ235" s="133"/>
      <c r="AK235" s="133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33"/>
      <c r="CG235" s="179"/>
      <c r="CH235" s="197"/>
      <c r="CI235" s="180"/>
      <c r="CJ235" s="180"/>
      <c r="CK235" s="180"/>
      <c r="CL235" s="180"/>
      <c r="CM235" s="180"/>
      <c r="CN235" s="180"/>
      <c r="CO235" s="180"/>
      <c r="CP235" s="180"/>
      <c r="CQ235" s="180"/>
      <c r="CR235" s="180"/>
      <c r="CS235" s="180"/>
      <c r="CT235" s="180"/>
      <c r="CU235" s="180"/>
      <c r="CV235" s="173"/>
      <c r="CW235" s="173"/>
      <c r="CX235" s="173"/>
      <c r="CY235" s="173"/>
      <c r="CZ235" s="173"/>
      <c r="DA235" s="198"/>
      <c r="DC235" s="197"/>
      <c r="DD235" s="180"/>
      <c r="DE235" s="180"/>
      <c r="DF235" s="180"/>
      <c r="DG235" s="180"/>
      <c r="DH235" s="180"/>
      <c r="DI235" s="180"/>
      <c r="DJ235" s="180"/>
      <c r="DK235" s="180"/>
      <c r="DL235" s="180"/>
      <c r="DM235" s="180"/>
      <c r="DN235" s="180"/>
      <c r="DO235" s="180"/>
      <c r="DP235" s="180"/>
      <c r="DQ235" s="173"/>
      <c r="DR235" s="173"/>
      <c r="DS235" s="173"/>
      <c r="DT235" s="173"/>
      <c r="DU235" s="173"/>
      <c r="DV235" s="198"/>
    </row>
    <row r="236" spans="1:126" x14ac:dyDescent="0.2">
      <c r="A236" s="143" t="s">
        <v>599</v>
      </c>
      <c r="AJ236" s="133"/>
      <c r="AK236" s="133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33"/>
      <c r="CG236" s="179"/>
      <c r="CH236" s="197"/>
      <c r="CI236" s="180"/>
      <c r="CJ236" s="180"/>
      <c r="CK236" s="180"/>
      <c r="CL236" s="180"/>
      <c r="CM236" s="180"/>
      <c r="CN236" s="180"/>
      <c r="CO236" s="180"/>
      <c r="CP236" s="180"/>
      <c r="CQ236" s="180"/>
      <c r="CR236" s="180"/>
      <c r="CS236" s="180"/>
      <c r="CT236" s="180"/>
      <c r="CU236" s="180"/>
      <c r="CV236" s="173"/>
      <c r="CW236" s="173"/>
      <c r="CX236" s="173"/>
      <c r="CY236" s="173"/>
      <c r="CZ236" s="173"/>
      <c r="DA236" s="198"/>
      <c r="DC236" s="197"/>
      <c r="DD236" s="180"/>
      <c r="DE236" s="180"/>
      <c r="DF236" s="180"/>
      <c r="DG236" s="180"/>
      <c r="DH236" s="180"/>
      <c r="DI236" s="180"/>
      <c r="DJ236" s="180"/>
      <c r="DK236" s="180"/>
      <c r="DL236" s="180"/>
      <c r="DM236" s="180"/>
      <c r="DN236" s="180"/>
      <c r="DO236" s="180"/>
      <c r="DP236" s="180"/>
      <c r="DQ236" s="173"/>
      <c r="DR236" s="173"/>
      <c r="DS236" s="173"/>
      <c r="DT236" s="173"/>
      <c r="DU236" s="173"/>
      <c r="DV236" s="198"/>
    </row>
    <row r="237" spans="1:126" x14ac:dyDescent="0.2">
      <c r="A237" s="144" t="s">
        <v>600</v>
      </c>
      <c r="AJ237" s="133"/>
      <c r="AK237" s="133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33"/>
      <c r="CG237" s="179"/>
      <c r="CH237" s="197"/>
      <c r="CI237" s="180"/>
      <c r="CJ237" s="180"/>
      <c r="CK237" s="180"/>
      <c r="CL237" s="180"/>
      <c r="CM237" s="180"/>
      <c r="CN237" s="180"/>
      <c r="CO237" s="180"/>
      <c r="CP237" s="180"/>
      <c r="CQ237" s="180"/>
      <c r="CR237" s="180"/>
      <c r="CS237" s="180"/>
      <c r="CT237" s="180"/>
      <c r="CU237" s="180"/>
      <c r="CV237" s="173"/>
      <c r="CW237" s="173"/>
      <c r="CX237" s="173"/>
      <c r="CY237" s="173"/>
      <c r="CZ237" s="173"/>
      <c r="DA237" s="198"/>
      <c r="DC237" s="197"/>
      <c r="DD237" s="180"/>
      <c r="DE237" s="180"/>
      <c r="DF237" s="180"/>
      <c r="DG237" s="180"/>
      <c r="DH237" s="180"/>
      <c r="DI237" s="180"/>
      <c r="DJ237" s="180"/>
      <c r="DK237" s="180"/>
      <c r="DL237" s="180"/>
      <c r="DM237" s="180"/>
      <c r="DN237" s="180"/>
      <c r="DO237" s="180"/>
      <c r="DP237" s="180"/>
      <c r="DQ237" s="173"/>
      <c r="DR237" s="173"/>
      <c r="DS237" s="173"/>
      <c r="DT237" s="173"/>
      <c r="DU237" s="173"/>
      <c r="DV237" s="198"/>
    </row>
    <row r="238" spans="1:126" x14ac:dyDescent="0.2">
      <c r="A238" s="142" t="s">
        <v>601</v>
      </c>
      <c r="AJ238" s="133"/>
      <c r="AK238" s="133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33"/>
      <c r="CG238" s="176"/>
      <c r="CH238" s="197"/>
      <c r="CI238" s="180"/>
      <c r="CJ238" s="180"/>
      <c r="CK238" s="180"/>
      <c r="CL238" s="180"/>
      <c r="CM238" s="180"/>
      <c r="CN238" s="180"/>
      <c r="CO238" s="180"/>
      <c r="CP238" s="180"/>
      <c r="CQ238" s="180"/>
      <c r="CR238" s="180"/>
      <c r="CS238" s="180"/>
      <c r="CT238" s="180"/>
      <c r="CU238" s="180"/>
      <c r="CV238" s="173"/>
      <c r="CW238" s="173"/>
      <c r="CX238" s="173"/>
      <c r="CY238" s="173"/>
      <c r="CZ238" s="173"/>
      <c r="DA238" s="198"/>
      <c r="DC238" s="197"/>
      <c r="DD238" s="180"/>
      <c r="DE238" s="180"/>
      <c r="DF238" s="180"/>
      <c r="DG238" s="180"/>
      <c r="DH238" s="180"/>
      <c r="DI238" s="180"/>
      <c r="DJ238" s="180"/>
      <c r="DK238" s="180"/>
      <c r="DL238" s="180"/>
      <c r="DM238" s="180"/>
      <c r="DN238" s="180"/>
      <c r="DO238" s="180"/>
      <c r="DP238" s="180"/>
      <c r="DQ238" s="173"/>
      <c r="DR238" s="173"/>
      <c r="DS238" s="173"/>
      <c r="DT238" s="173"/>
      <c r="DU238" s="173"/>
      <c r="DV238" s="198"/>
    </row>
    <row r="239" spans="1:126" x14ac:dyDescent="0.2">
      <c r="A239" s="143" t="s">
        <v>602</v>
      </c>
      <c r="AJ239" s="133"/>
      <c r="AK239" s="133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33"/>
      <c r="CG239" s="176"/>
      <c r="CH239" s="197"/>
      <c r="CI239" s="180"/>
      <c r="CJ239" s="180"/>
      <c r="CK239" s="180"/>
      <c r="CL239" s="180"/>
      <c r="CM239" s="180"/>
      <c r="CN239" s="180"/>
      <c r="CO239" s="180"/>
      <c r="CP239" s="180"/>
      <c r="CQ239" s="180"/>
      <c r="CR239" s="180"/>
      <c r="CS239" s="180"/>
      <c r="CT239" s="180"/>
      <c r="CU239" s="180"/>
      <c r="CV239" s="173"/>
      <c r="CW239" s="173"/>
      <c r="CX239" s="173"/>
      <c r="CY239" s="173"/>
      <c r="CZ239" s="173"/>
      <c r="DA239" s="198"/>
      <c r="DC239" s="197"/>
      <c r="DD239" s="180"/>
      <c r="DE239" s="180"/>
      <c r="DF239" s="180"/>
      <c r="DG239" s="180"/>
      <c r="DH239" s="180"/>
      <c r="DI239" s="180"/>
      <c r="DJ239" s="180"/>
      <c r="DK239" s="180"/>
      <c r="DL239" s="180"/>
      <c r="DM239" s="180"/>
      <c r="DN239" s="180"/>
      <c r="DO239" s="180"/>
      <c r="DP239" s="180"/>
      <c r="DQ239" s="173"/>
      <c r="DR239" s="173"/>
      <c r="DS239" s="173"/>
      <c r="DT239" s="173"/>
      <c r="DU239" s="173"/>
      <c r="DV239" s="198"/>
    </row>
    <row r="240" spans="1:126" x14ac:dyDescent="0.2">
      <c r="A240" s="143" t="s">
        <v>603</v>
      </c>
      <c r="AJ240" s="133"/>
      <c r="AK240" s="133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33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33"/>
      <c r="CG240" s="176"/>
      <c r="CH240" s="199"/>
      <c r="CI240" s="200"/>
      <c r="CJ240" s="200"/>
      <c r="CK240" s="200"/>
      <c r="CL240" s="200"/>
      <c r="CM240" s="200"/>
      <c r="CN240" s="200"/>
      <c r="CO240" s="200"/>
      <c r="CP240" s="200"/>
      <c r="CQ240" s="201"/>
      <c r="CR240" s="202"/>
      <c r="CS240" s="200"/>
      <c r="CT240" s="200"/>
      <c r="CU240" s="200"/>
      <c r="CV240" s="203"/>
      <c r="CW240" s="203"/>
      <c r="CX240" s="203"/>
      <c r="CY240" s="203"/>
      <c r="CZ240" s="203"/>
      <c r="DA240" s="204"/>
      <c r="DC240" s="199"/>
      <c r="DD240" s="200"/>
      <c r="DE240" s="200"/>
      <c r="DF240" s="200"/>
      <c r="DG240" s="200"/>
      <c r="DH240" s="200"/>
      <c r="DI240" s="200"/>
      <c r="DJ240" s="200"/>
      <c r="DK240" s="200"/>
      <c r="DL240" s="200"/>
      <c r="DM240" s="200"/>
      <c r="DN240" s="200"/>
      <c r="DO240" s="200"/>
      <c r="DP240" s="200"/>
      <c r="DQ240" s="203"/>
      <c r="DR240" s="203"/>
      <c r="DS240" s="203"/>
      <c r="DT240" s="203"/>
      <c r="DU240" s="203"/>
      <c r="DV240" s="204"/>
    </row>
    <row r="241" spans="1:126" x14ac:dyDescent="0.2">
      <c r="A241" s="143" t="s">
        <v>604</v>
      </c>
      <c r="AJ241" s="133"/>
      <c r="AK241" s="133"/>
      <c r="AL241" s="183"/>
      <c r="AM241" s="183"/>
      <c r="AN241" s="183"/>
      <c r="AO241" s="183"/>
      <c r="AP241" s="183"/>
      <c r="AQ241" s="183"/>
      <c r="AR241" s="183"/>
      <c r="AS241" s="183"/>
      <c r="AT241" s="183"/>
      <c r="AU241" s="183"/>
      <c r="AV241" s="183"/>
      <c r="AW241" s="183"/>
      <c r="AX241" s="183"/>
      <c r="AY241" s="183"/>
      <c r="AZ241" s="183"/>
      <c r="BA241" s="183"/>
      <c r="BB241" s="183"/>
      <c r="BC241" s="183"/>
      <c r="BD241" s="183"/>
      <c r="BE241" s="183"/>
      <c r="BF241" s="133"/>
      <c r="CG241" s="176">
        <v>13</v>
      </c>
      <c r="CH241" s="192"/>
      <c r="CI241" s="193"/>
      <c r="CJ241" s="193"/>
      <c r="CK241" s="193"/>
      <c r="CL241" s="193"/>
      <c r="CM241" s="193"/>
      <c r="CN241" s="193"/>
      <c r="CO241" s="193"/>
      <c r="CP241" s="193"/>
      <c r="CQ241" s="193"/>
      <c r="CR241" s="193"/>
      <c r="CS241" s="193"/>
      <c r="CT241" s="193"/>
      <c r="CU241" s="193"/>
      <c r="CV241" s="194"/>
      <c r="CW241" s="194"/>
      <c r="CX241" s="194"/>
      <c r="CY241" s="194"/>
      <c r="CZ241" s="194"/>
      <c r="DA241" s="195"/>
      <c r="DC241" s="192"/>
      <c r="DD241" s="193"/>
      <c r="DE241" s="193"/>
      <c r="DF241" s="193"/>
      <c r="DG241" s="193"/>
      <c r="DH241" s="193"/>
      <c r="DI241" s="193"/>
      <c r="DJ241" s="193"/>
      <c r="DK241" s="193"/>
      <c r="DL241" s="193"/>
      <c r="DM241" s="193"/>
      <c r="DN241" s="193"/>
      <c r="DO241" s="193"/>
      <c r="DP241" s="193"/>
      <c r="DQ241" s="194"/>
      <c r="DR241" s="194"/>
      <c r="DS241" s="194"/>
      <c r="DT241" s="194"/>
      <c r="DU241" s="194"/>
      <c r="DV241" s="195"/>
    </row>
    <row r="242" spans="1:126" x14ac:dyDescent="0.2">
      <c r="A242" s="143" t="s">
        <v>605</v>
      </c>
      <c r="AJ242" s="133"/>
      <c r="AK242" s="133"/>
      <c r="AL242" s="183"/>
      <c r="AM242" s="183"/>
      <c r="AN242" s="183"/>
      <c r="AO242" s="183"/>
      <c r="AP242" s="183"/>
      <c r="AQ242" s="183"/>
      <c r="AR242" s="183"/>
      <c r="AS242" s="183"/>
      <c r="AT242" s="183"/>
      <c r="AU242" s="183"/>
      <c r="AV242" s="183"/>
      <c r="AW242" s="183"/>
      <c r="AX242" s="183"/>
      <c r="AY242" s="183"/>
      <c r="AZ242" s="183"/>
      <c r="BA242" s="183"/>
      <c r="BB242" s="183"/>
      <c r="BC242" s="183"/>
      <c r="BD242" s="183"/>
      <c r="BE242" s="183"/>
      <c r="BF242" s="133"/>
      <c r="CG242" s="176"/>
      <c r="CH242" s="169"/>
      <c r="CI242" s="177"/>
      <c r="CJ242" s="177"/>
      <c r="CK242" s="177"/>
      <c r="CL242" s="177"/>
      <c r="CM242" s="177"/>
      <c r="CN242" s="177"/>
      <c r="CO242" s="177"/>
      <c r="CP242" s="177"/>
      <c r="CQ242" s="177"/>
      <c r="CR242" s="177"/>
      <c r="CS242" s="177"/>
      <c r="CT242" s="177"/>
      <c r="CU242" s="177"/>
      <c r="CV242" s="172"/>
      <c r="CW242" s="172"/>
      <c r="CX242" s="172"/>
      <c r="CY242" s="172"/>
      <c r="CZ242" s="172"/>
      <c r="DA242" s="196"/>
      <c r="DC242" s="169"/>
      <c r="DD242" s="177"/>
      <c r="DE242" s="177"/>
      <c r="DF242" s="177"/>
      <c r="DG242" s="177"/>
      <c r="DH242" s="177"/>
      <c r="DI242" s="177"/>
      <c r="DJ242" s="177"/>
      <c r="DK242" s="177"/>
      <c r="DL242" s="177"/>
      <c r="DM242" s="177"/>
      <c r="DN242" s="177"/>
      <c r="DO242" s="177"/>
      <c r="DP242" s="177"/>
      <c r="DQ242" s="172"/>
      <c r="DR242" s="172"/>
      <c r="DS242" s="172"/>
      <c r="DT242" s="172"/>
      <c r="DU242" s="172"/>
      <c r="DV242" s="196"/>
    </row>
    <row r="243" spans="1:126" x14ac:dyDescent="0.2">
      <c r="A243" s="143" t="s">
        <v>606</v>
      </c>
      <c r="AJ243" s="133"/>
      <c r="AK243" s="133"/>
      <c r="AL243" s="183"/>
      <c r="AM243" s="183"/>
      <c r="AN243" s="183"/>
      <c r="AO243" s="183"/>
      <c r="AP243" s="183"/>
      <c r="AQ243" s="183"/>
      <c r="AR243" s="183"/>
      <c r="AS243" s="183"/>
      <c r="AT243" s="183"/>
      <c r="AU243" s="183"/>
      <c r="AV243" s="183"/>
      <c r="AW243" s="183"/>
      <c r="AX243" s="183"/>
      <c r="AY243" s="183"/>
      <c r="AZ243" s="183"/>
      <c r="BA243" s="183"/>
      <c r="BB243" s="183"/>
      <c r="BC243" s="183"/>
      <c r="BD243" s="183"/>
      <c r="BE243" s="183"/>
      <c r="BF243" s="133"/>
      <c r="CG243" s="131"/>
      <c r="CH243" s="169"/>
      <c r="CI243" s="177"/>
      <c r="CJ243" s="177"/>
      <c r="CK243" s="177"/>
      <c r="CL243" s="177"/>
      <c r="CM243" s="177"/>
      <c r="CN243" s="177"/>
      <c r="CO243" s="177"/>
      <c r="CP243" s="177"/>
      <c r="CQ243" s="177"/>
      <c r="CR243" s="177"/>
      <c r="CS243" s="177"/>
      <c r="CT243" s="177"/>
      <c r="CU243" s="177"/>
      <c r="CV243" s="172"/>
      <c r="CW243" s="172"/>
      <c r="CX243" s="172"/>
      <c r="CY243" s="172"/>
      <c r="CZ243" s="172"/>
      <c r="DA243" s="196"/>
      <c r="DC243" s="169"/>
      <c r="DD243" s="177"/>
      <c r="DE243" s="177"/>
      <c r="DF243" s="177"/>
      <c r="DG243" s="177"/>
      <c r="DH243" s="177"/>
      <c r="DI243" s="177"/>
      <c r="DJ243" s="177"/>
      <c r="DK243" s="177"/>
      <c r="DL243" s="177"/>
      <c r="DM243" s="177"/>
      <c r="DN243" s="177"/>
      <c r="DO243" s="177"/>
      <c r="DP243" s="177"/>
      <c r="DQ243" s="172"/>
      <c r="DR243" s="172"/>
      <c r="DS243" s="172"/>
      <c r="DT243" s="172"/>
      <c r="DU243" s="172"/>
      <c r="DV243" s="196"/>
    </row>
    <row r="244" spans="1:126" x14ac:dyDescent="0.2">
      <c r="A244" s="143" t="s">
        <v>607</v>
      </c>
      <c r="AJ244" s="133"/>
      <c r="AK244" s="133"/>
      <c r="AL244" s="183"/>
      <c r="AM244" s="183"/>
      <c r="AN244" s="183"/>
      <c r="AO244" s="183"/>
      <c r="AP244" s="183"/>
      <c r="AQ244" s="183"/>
      <c r="AR244" s="183"/>
      <c r="AS244" s="183"/>
      <c r="AT244" s="183"/>
      <c r="AU244" s="183"/>
      <c r="AV244" s="183"/>
      <c r="AW244" s="183"/>
      <c r="AX244" s="183"/>
      <c r="AY244" s="183"/>
      <c r="AZ244" s="183"/>
      <c r="BA244" s="183"/>
      <c r="BB244" s="183"/>
      <c r="BC244" s="183"/>
      <c r="BD244" s="183"/>
      <c r="BE244" s="183"/>
      <c r="BF244" s="133"/>
      <c r="CG244" s="176"/>
      <c r="CH244" s="169"/>
      <c r="CI244" s="177"/>
      <c r="CJ244" s="177"/>
      <c r="CK244" s="177"/>
      <c r="CL244" s="177"/>
      <c r="CM244" s="177"/>
      <c r="CN244" s="177"/>
      <c r="CO244" s="177"/>
      <c r="CP244" s="177"/>
      <c r="CQ244" s="177"/>
      <c r="CR244" s="177"/>
      <c r="CS244" s="177"/>
      <c r="CT244" s="177"/>
      <c r="CU244" s="177"/>
      <c r="CV244" s="172"/>
      <c r="CW244" s="172"/>
      <c r="CX244" s="172"/>
      <c r="CY244" s="172"/>
      <c r="CZ244" s="172"/>
      <c r="DA244" s="196"/>
      <c r="DC244" s="169"/>
      <c r="DD244" s="177"/>
      <c r="DE244" s="177"/>
      <c r="DF244" s="177"/>
      <c r="DG244" s="177"/>
      <c r="DH244" s="177"/>
      <c r="DI244" s="177"/>
      <c r="DJ244" s="177"/>
      <c r="DK244" s="177"/>
      <c r="DL244" s="177"/>
      <c r="DM244" s="177"/>
      <c r="DN244" s="177"/>
      <c r="DO244" s="177"/>
      <c r="DP244" s="177"/>
      <c r="DQ244" s="172"/>
      <c r="DR244" s="172"/>
      <c r="DS244" s="172"/>
      <c r="DT244" s="172"/>
      <c r="DU244" s="172"/>
      <c r="DV244" s="196"/>
    </row>
    <row r="245" spans="1:126" x14ac:dyDescent="0.2">
      <c r="A245" s="143" t="s">
        <v>608</v>
      </c>
      <c r="AJ245" s="133"/>
      <c r="AK245" s="133"/>
      <c r="AL245" s="183"/>
      <c r="AM245" s="183"/>
      <c r="AN245" s="183"/>
      <c r="AO245" s="183"/>
      <c r="AP245" s="183"/>
      <c r="AQ245" s="183"/>
      <c r="AR245" s="183"/>
      <c r="AS245" s="183"/>
      <c r="AT245" s="183"/>
      <c r="AU245" s="183"/>
      <c r="AV245" s="183"/>
      <c r="AW245" s="183"/>
      <c r="AX245" s="183"/>
      <c r="AY245" s="183"/>
      <c r="AZ245" s="183"/>
      <c r="BA245" s="183"/>
      <c r="BB245" s="183"/>
      <c r="BC245" s="183"/>
      <c r="BD245" s="183"/>
      <c r="BE245" s="183"/>
      <c r="BF245" s="133"/>
      <c r="CG245" s="178"/>
      <c r="CH245" s="169"/>
      <c r="CI245" s="177"/>
      <c r="CJ245" s="177"/>
      <c r="CK245" s="177"/>
      <c r="CL245" s="177"/>
      <c r="CM245" s="177"/>
      <c r="CN245" s="177"/>
      <c r="CO245" s="177"/>
      <c r="CP245" s="177"/>
      <c r="CQ245" s="177"/>
      <c r="CR245" s="177"/>
      <c r="CS245" s="177"/>
      <c r="CT245" s="177"/>
      <c r="CU245" s="177"/>
      <c r="CV245" s="172"/>
      <c r="CW245" s="172"/>
      <c r="CX245" s="172"/>
      <c r="CY245" s="172"/>
      <c r="CZ245" s="172"/>
      <c r="DA245" s="196"/>
      <c r="DC245" s="169"/>
      <c r="DD245" s="177"/>
      <c r="DE245" s="177"/>
      <c r="DF245" s="177"/>
      <c r="DG245" s="177"/>
      <c r="DH245" s="177"/>
      <c r="DI245" s="177"/>
      <c r="DJ245" s="177"/>
      <c r="DK245" s="177"/>
      <c r="DL245" s="177"/>
      <c r="DM245" s="177"/>
      <c r="DN245" s="177"/>
      <c r="DO245" s="177"/>
      <c r="DP245" s="177"/>
      <c r="DQ245" s="172"/>
      <c r="DR245" s="172"/>
      <c r="DS245" s="172"/>
      <c r="DT245" s="172"/>
      <c r="DU245" s="172"/>
      <c r="DV245" s="196"/>
    </row>
    <row r="246" spans="1:126" x14ac:dyDescent="0.2">
      <c r="A246" s="143" t="s">
        <v>609</v>
      </c>
      <c r="AJ246" s="133"/>
      <c r="AK246" s="133"/>
      <c r="AL246" s="183"/>
      <c r="AM246" s="183"/>
      <c r="AN246" s="183"/>
      <c r="AO246" s="183"/>
      <c r="AP246" s="183"/>
      <c r="AQ246" s="183"/>
      <c r="AR246" s="183"/>
      <c r="AS246" s="183"/>
      <c r="AT246" s="183"/>
      <c r="AU246" s="183"/>
      <c r="AV246" s="183"/>
      <c r="AW246" s="183"/>
      <c r="AX246" s="183"/>
      <c r="AY246" s="183"/>
      <c r="AZ246" s="183"/>
      <c r="BA246" s="183"/>
      <c r="BB246" s="183"/>
      <c r="BC246" s="183"/>
      <c r="BD246" s="183"/>
      <c r="BE246" s="183"/>
      <c r="BF246" s="133"/>
      <c r="CG246" s="179"/>
      <c r="CH246" s="169"/>
      <c r="CI246" s="177"/>
      <c r="CJ246" s="177"/>
      <c r="CK246" s="177"/>
      <c r="CL246" s="177"/>
      <c r="CM246" s="177"/>
      <c r="CN246" s="177"/>
      <c r="CO246" s="177"/>
      <c r="CP246" s="177"/>
      <c r="CQ246" s="177"/>
      <c r="CR246" s="177"/>
      <c r="CS246" s="177"/>
      <c r="CT246" s="177"/>
      <c r="CU246" s="177"/>
      <c r="CV246" s="172"/>
      <c r="CW246" s="172"/>
      <c r="CX246" s="172"/>
      <c r="CY246" s="172"/>
      <c r="CZ246" s="172"/>
      <c r="DA246" s="196"/>
      <c r="DC246" s="169"/>
      <c r="DD246" s="177"/>
      <c r="DE246" s="177"/>
      <c r="DF246" s="177"/>
      <c r="DG246" s="177"/>
      <c r="DH246" s="177"/>
      <c r="DI246" s="177"/>
      <c r="DJ246" s="177"/>
      <c r="DK246" s="177"/>
      <c r="DL246" s="177"/>
      <c r="DM246" s="177"/>
      <c r="DN246" s="177"/>
      <c r="DO246" s="177"/>
      <c r="DP246" s="177"/>
      <c r="DQ246" s="172"/>
      <c r="DR246" s="172"/>
      <c r="DS246" s="172"/>
      <c r="DT246" s="172"/>
      <c r="DU246" s="172"/>
      <c r="DV246" s="196"/>
    </row>
    <row r="247" spans="1:126" x14ac:dyDescent="0.2">
      <c r="A247" s="143" t="s">
        <v>610</v>
      </c>
      <c r="AJ247" s="133"/>
      <c r="AK247" s="133"/>
      <c r="AL247" s="183"/>
      <c r="AM247" s="183"/>
      <c r="AN247" s="183"/>
      <c r="AO247" s="183"/>
      <c r="AP247" s="183"/>
      <c r="AQ247" s="183"/>
      <c r="AR247" s="183"/>
      <c r="AS247" s="183"/>
      <c r="AT247" s="183"/>
      <c r="AU247" s="183"/>
      <c r="AV247" s="183"/>
      <c r="AW247" s="183"/>
      <c r="AX247" s="183"/>
      <c r="AY247" s="183"/>
      <c r="AZ247" s="183"/>
      <c r="BA247" s="183"/>
      <c r="BB247" s="183"/>
      <c r="BC247" s="183"/>
      <c r="BD247" s="183"/>
      <c r="BE247" s="183"/>
      <c r="BF247" s="133"/>
      <c r="CG247" s="179"/>
      <c r="CH247" s="169"/>
      <c r="CI247" s="177"/>
      <c r="CJ247" s="177"/>
      <c r="CK247" s="177"/>
      <c r="CL247" s="177"/>
      <c r="CM247" s="177"/>
      <c r="CN247" s="177"/>
      <c r="CO247" s="177"/>
      <c r="CP247" s="177"/>
      <c r="CQ247" s="177"/>
      <c r="CR247" s="177"/>
      <c r="CS247" s="177"/>
      <c r="CT247" s="177"/>
      <c r="CU247" s="177"/>
      <c r="CV247" s="172"/>
      <c r="CW247" s="172"/>
      <c r="CX247" s="172"/>
      <c r="CY247" s="172"/>
      <c r="CZ247" s="172"/>
      <c r="DA247" s="196"/>
      <c r="DC247" s="169"/>
      <c r="DD247" s="177"/>
      <c r="DE247" s="177"/>
      <c r="DF247" s="177"/>
      <c r="DG247" s="177"/>
      <c r="DH247" s="177"/>
      <c r="DI247" s="177"/>
      <c r="DJ247" s="177"/>
      <c r="DK247" s="177"/>
      <c r="DL247" s="177"/>
      <c r="DM247" s="177"/>
      <c r="DN247" s="177"/>
      <c r="DO247" s="177"/>
      <c r="DP247" s="177"/>
      <c r="DQ247" s="172"/>
      <c r="DR247" s="172"/>
      <c r="DS247" s="172"/>
      <c r="DT247" s="172"/>
      <c r="DU247" s="172"/>
      <c r="DV247" s="196"/>
    </row>
    <row r="248" spans="1:126" x14ac:dyDescent="0.2">
      <c r="A248" s="143" t="s">
        <v>611</v>
      </c>
      <c r="AJ248" s="133"/>
      <c r="AK248" s="133"/>
      <c r="AL248" s="183"/>
      <c r="AM248" s="183"/>
      <c r="AN248" s="183"/>
      <c r="AO248" s="183"/>
      <c r="AP248" s="183"/>
      <c r="AQ248" s="183"/>
      <c r="AR248" s="183"/>
      <c r="AS248" s="183"/>
      <c r="AT248" s="183"/>
      <c r="AU248" s="183"/>
      <c r="AV248" s="183"/>
      <c r="AW248" s="183"/>
      <c r="AX248" s="183"/>
      <c r="AY248" s="183"/>
      <c r="AZ248" s="183"/>
      <c r="BA248" s="183"/>
      <c r="BB248" s="183"/>
      <c r="BC248" s="183"/>
      <c r="BD248" s="183"/>
      <c r="BE248" s="183"/>
      <c r="BF248" s="133"/>
      <c r="CG248" s="179"/>
      <c r="CH248" s="169"/>
      <c r="CI248" s="177"/>
      <c r="CJ248" s="177"/>
      <c r="CK248" s="177"/>
      <c r="CL248" s="177"/>
      <c r="CM248" s="177"/>
      <c r="CN248" s="177"/>
      <c r="CO248" s="177"/>
      <c r="CP248" s="177"/>
      <c r="CQ248" s="177"/>
      <c r="CR248" s="177"/>
      <c r="CS248" s="177"/>
      <c r="CT248" s="177"/>
      <c r="CU248" s="177"/>
      <c r="CV248" s="172"/>
      <c r="CW248" s="172"/>
      <c r="CX248" s="172"/>
      <c r="CY248" s="172"/>
      <c r="CZ248" s="172"/>
      <c r="DA248" s="196"/>
      <c r="DC248" s="169"/>
      <c r="DD248" s="177"/>
      <c r="DE248" s="177"/>
      <c r="DF248" s="177"/>
      <c r="DG248" s="177"/>
      <c r="DH248" s="177"/>
      <c r="DI248" s="177"/>
      <c r="DJ248" s="177"/>
      <c r="DK248" s="177"/>
      <c r="DL248" s="177"/>
      <c r="DM248" s="177"/>
      <c r="DN248" s="177"/>
      <c r="DO248" s="177"/>
      <c r="DP248" s="177"/>
      <c r="DQ248" s="172"/>
      <c r="DR248" s="172"/>
      <c r="DS248" s="172"/>
      <c r="DT248" s="172"/>
      <c r="DU248" s="172"/>
      <c r="DV248" s="196"/>
    </row>
    <row r="249" spans="1:126" x14ac:dyDescent="0.2">
      <c r="A249" s="143" t="s">
        <v>612</v>
      </c>
      <c r="AJ249" s="133"/>
      <c r="AK249" s="133"/>
      <c r="AL249" s="183"/>
      <c r="AM249" s="183"/>
      <c r="AN249" s="183"/>
      <c r="AO249" s="183"/>
      <c r="AP249" s="183"/>
      <c r="AQ249" s="183"/>
      <c r="AR249" s="183"/>
      <c r="AS249" s="183"/>
      <c r="AT249" s="183"/>
      <c r="AU249" s="183"/>
      <c r="AV249" s="183"/>
      <c r="AW249" s="183"/>
      <c r="AX249" s="183"/>
      <c r="AY249" s="183"/>
      <c r="AZ249" s="183"/>
      <c r="BA249" s="183"/>
      <c r="BB249" s="183"/>
      <c r="BC249" s="183"/>
      <c r="BD249" s="183"/>
      <c r="BE249" s="183"/>
      <c r="BF249" s="133"/>
      <c r="CG249" s="179"/>
      <c r="CH249" s="169"/>
      <c r="CI249" s="177"/>
      <c r="CJ249" s="177"/>
      <c r="CK249" s="177"/>
      <c r="CL249" s="177"/>
      <c r="CM249" s="177"/>
      <c r="CN249" s="177"/>
      <c r="CO249" s="177"/>
      <c r="CP249" s="177"/>
      <c r="CQ249" s="177"/>
      <c r="CR249" s="177"/>
      <c r="CS249" s="177"/>
      <c r="CT249" s="177"/>
      <c r="CU249" s="177"/>
      <c r="CV249" s="172"/>
      <c r="CW249" s="172"/>
      <c r="CX249" s="172"/>
      <c r="CY249" s="172"/>
      <c r="CZ249" s="172"/>
      <c r="DA249" s="196"/>
      <c r="DC249" s="169"/>
      <c r="DD249" s="177"/>
      <c r="DE249" s="177"/>
      <c r="DF249" s="177"/>
      <c r="DG249" s="177"/>
      <c r="DH249" s="177"/>
      <c r="DI249" s="177"/>
      <c r="DJ249" s="177"/>
      <c r="DK249" s="177"/>
      <c r="DL249" s="177"/>
      <c r="DM249" s="177"/>
      <c r="DN249" s="177"/>
      <c r="DO249" s="177"/>
      <c r="DP249" s="177"/>
      <c r="DQ249" s="172"/>
      <c r="DR249" s="172"/>
      <c r="DS249" s="172"/>
      <c r="DT249" s="172"/>
      <c r="DU249" s="172"/>
      <c r="DV249" s="196"/>
    </row>
    <row r="250" spans="1:126" x14ac:dyDescent="0.2">
      <c r="A250" s="143" t="s">
        <v>613</v>
      </c>
      <c r="AJ250" s="133"/>
      <c r="AK250" s="133"/>
      <c r="AL250" s="183"/>
      <c r="AM250" s="183"/>
      <c r="AN250" s="183"/>
      <c r="AO250" s="183"/>
      <c r="AP250" s="183"/>
      <c r="AQ250" s="183"/>
      <c r="AR250" s="183"/>
      <c r="AS250" s="183"/>
      <c r="AT250" s="183"/>
      <c r="AU250" s="183"/>
      <c r="AV250" s="183"/>
      <c r="AW250" s="183"/>
      <c r="AX250" s="183"/>
      <c r="AY250" s="183"/>
      <c r="AZ250" s="183"/>
      <c r="BA250" s="183"/>
      <c r="BB250" s="183"/>
      <c r="BC250" s="183"/>
      <c r="BD250" s="183"/>
      <c r="BE250" s="183"/>
      <c r="BF250" s="133"/>
      <c r="CG250" s="179"/>
      <c r="CH250" s="169"/>
      <c r="CI250" s="177"/>
      <c r="CJ250" s="177"/>
      <c r="CK250" s="177"/>
      <c r="CL250" s="177"/>
      <c r="CM250" s="177"/>
      <c r="CN250" s="177"/>
      <c r="CO250" s="177"/>
      <c r="CP250" s="177"/>
      <c r="CQ250" s="177"/>
      <c r="CR250" s="177"/>
      <c r="CS250" s="177"/>
      <c r="CT250" s="177"/>
      <c r="CU250" s="177"/>
      <c r="CV250" s="172"/>
      <c r="CW250" s="172"/>
      <c r="CX250" s="172"/>
      <c r="CY250" s="172"/>
      <c r="CZ250" s="172"/>
      <c r="DA250" s="196"/>
      <c r="DC250" s="169"/>
      <c r="DD250" s="177"/>
      <c r="DE250" s="177"/>
      <c r="DF250" s="177"/>
      <c r="DG250" s="177"/>
      <c r="DH250" s="177"/>
      <c r="DI250" s="177"/>
      <c r="DJ250" s="177"/>
      <c r="DK250" s="177"/>
      <c r="DL250" s="177"/>
      <c r="DM250" s="177"/>
      <c r="DN250" s="177"/>
      <c r="DO250" s="177"/>
      <c r="DP250" s="177"/>
      <c r="DQ250" s="172"/>
      <c r="DR250" s="172"/>
      <c r="DS250" s="172"/>
      <c r="DT250" s="172"/>
      <c r="DU250" s="172"/>
      <c r="DV250" s="196"/>
    </row>
    <row r="251" spans="1:126" x14ac:dyDescent="0.2">
      <c r="A251" s="143" t="s">
        <v>614</v>
      </c>
      <c r="AJ251" s="133"/>
      <c r="AK251" s="133"/>
      <c r="AL251" s="183"/>
      <c r="AM251" s="183"/>
      <c r="AN251" s="183"/>
      <c r="AO251" s="183"/>
      <c r="AP251" s="183"/>
      <c r="AQ251" s="183"/>
      <c r="AR251" s="183"/>
      <c r="AS251" s="183"/>
      <c r="AT251" s="183"/>
      <c r="AU251" s="183"/>
      <c r="AV251" s="183"/>
      <c r="AW251" s="183"/>
      <c r="AX251" s="183"/>
      <c r="AY251" s="183"/>
      <c r="AZ251" s="183"/>
      <c r="BA251" s="183"/>
      <c r="BB251" s="183"/>
      <c r="BC251" s="183"/>
      <c r="BD251" s="183"/>
      <c r="BE251" s="183"/>
      <c r="BF251" s="133"/>
      <c r="CG251" s="179"/>
      <c r="CH251" s="169"/>
      <c r="CI251" s="177"/>
      <c r="CJ251" s="177"/>
      <c r="CK251" s="177"/>
      <c r="CL251" s="177"/>
      <c r="CM251" s="177"/>
      <c r="CN251" s="177"/>
      <c r="CO251" s="177"/>
      <c r="CP251" s="177"/>
      <c r="CQ251" s="177"/>
      <c r="CR251" s="177"/>
      <c r="CS251" s="177"/>
      <c r="CT251" s="177"/>
      <c r="CU251" s="177"/>
      <c r="CV251" s="172"/>
      <c r="CW251" s="172"/>
      <c r="CX251" s="172"/>
      <c r="CY251" s="172"/>
      <c r="CZ251" s="172"/>
      <c r="DA251" s="196"/>
      <c r="DC251" s="169"/>
      <c r="DD251" s="177"/>
      <c r="DE251" s="177"/>
      <c r="DF251" s="177"/>
      <c r="DG251" s="177"/>
      <c r="DH251" s="177"/>
      <c r="DI251" s="177"/>
      <c r="DJ251" s="177"/>
      <c r="DK251" s="177"/>
      <c r="DL251" s="177"/>
      <c r="DM251" s="177"/>
      <c r="DN251" s="177"/>
      <c r="DO251" s="177"/>
      <c r="DP251" s="177"/>
      <c r="DQ251" s="172"/>
      <c r="DR251" s="172"/>
      <c r="DS251" s="172"/>
      <c r="DT251" s="172"/>
      <c r="DU251" s="172"/>
      <c r="DV251" s="196"/>
    </row>
    <row r="252" spans="1:126" x14ac:dyDescent="0.2">
      <c r="A252" s="143" t="s">
        <v>615</v>
      </c>
      <c r="AJ252" s="133"/>
      <c r="AK252" s="133"/>
      <c r="AL252" s="183"/>
      <c r="AM252" s="183"/>
      <c r="AN252" s="183"/>
      <c r="AO252" s="183"/>
      <c r="AP252" s="183"/>
      <c r="AQ252" s="183"/>
      <c r="AR252" s="183"/>
      <c r="AS252" s="183"/>
      <c r="AT252" s="183"/>
      <c r="AU252" s="183"/>
      <c r="AV252" s="183"/>
      <c r="AW252" s="183"/>
      <c r="AX252" s="183"/>
      <c r="AY252" s="183"/>
      <c r="AZ252" s="183"/>
      <c r="BA252" s="183"/>
      <c r="BB252" s="183"/>
      <c r="BC252" s="183"/>
      <c r="BD252" s="183"/>
      <c r="BE252" s="183"/>
      <c r="BF252" s="133"/>
      <c r="CG252" s="179"/>
      <c r="CH252" s="169"/>
      <c r="CI252" s="177"/>
      <c r="CJ252" s="177"/>
      <c r="CK252" s="177"/>
      <c r="CL252" s="177"/>
      <c r="CM252" s="177"/>
      <c r="CN252" s="177"/>
      <c r="CO252" s="177"/>
      <c r="CP252" s="177"/>
      <c r="CQ252" s="177"/>
      <c r="CR252" s="177"/>
      <c r="CS252" s="177"/>
      <c r="CT252" s="177"/>
      <c r="CU252" s="177"/>
      <c r="CV252" s="172"/>
      <c r="CW252" s="172"/>
      <c r="CX252" s="172"/>
      <c r="CY252" s="172"/>
      <c r="CZ252" s="172"/>
      <c r="DA252" s="196"/>
      <c r="DC252" s="169"/>
      <c r="DD252" s="177"/>
      <c r="DE252" s="177"/>
      <c r="DF252" s="177"/>
      <c r="DG252" s="177"/>
      <c r="DH252" s="177"/>
      <c r="DI252" s="177"/>
      <c r="DJ252" s="177"/>
      <c r="DK252" s="177"/>
      <c r="DL252" s="177"/>
      <c r="DM252" s="177"/>
      <c r="DN252" s="177"/>
      <c r="DO252" s="177"/>
      <c r="DP252" s="177"/>
      <c r="DQ252" s="172"/>
      <c r="DR252" s="172"/>
      <c r="DS252" s="172"/>
      <c r="DT252" s="172"/>
      <c r="DU252" s="172"/>
      <c r="DV252" s="196"/>
    </row>
    <row r="253" spans="1:126" x14ac:dyDescent="0.2">
      <c r="A253" s="143" t="s">
        <v>616</v>
      </c>
      <c r="AJ253" s="133"/>
      <c r="AK253" s="133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33"/>
      <c r="CG253" s="179"/>
      <c r="CH253" s="197"/>
      <c r="CI253" s="180"/>
      <c r="CJ253" s="180"/>
      <c r="CK253" s="180"/>
      <c r="CL253" s="180"/>
      <c r="CM253" s="180"/>
      <c r="CN253" s="180"/>
      <c r="CO253" s="180"/>
      <c r="CP253" s="180"/>
      <c r="CQ253" s="180"/>
      <c r="CR253" s="180"/>
      <c r="CS253" s="180"/>
      <c r="CT253" s="180"/>
      <c r="CU253" s="180"/>
      <c r="CV253" s="173"/>
      <c r="CW253" s="173"/>
      <c r="CX253" s="173"/>
      <c r="CY253" s="173"/>
      <c r="CZ253" s="173"/>
      <c r="DA253" s="198"/>
      <c r="DC253" s="197"/>
      <c r="DD253" s="180"/>
      <c r="DE253" s="180"/>
      <c r="DF253" s="180"/>
      <c r="DG253" s="180"/>
      <c r="DH253" s="180"/>
      <c r="DI253" s="180"/>
      <c r="DJ253" s="180"/>
      <c r="DK253" s="180"/>
      <c r="DL253" s="180"/>
      <c r="DM253" s="180"/>
      <c r="DN253" s="180"/>
      <c r="DO253" s="180"/>
      <c r="DP253" s="180"/>
      <c r="DQ253" s="173"/>
      <c r="DR253" s="173"/>
      <c r="DS253" s="173"/>
      <c r="DT253" s="173"/>
      <c r="DU253" s="173"/>
      <c r="DV253" s="198"/>
    </row>
    <row r="254" spans="1:126" x14ac:dyDescent="0.2">
      <c r="A254" s="143" t="s">
        <v>617</v>
      </c>
      <c r="AJ254" s="133"/>
      <c r="AK254" s="133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33"/>
      <c r="CG254" s="179"/>
      <c r="CH254" s="197"/>
      <c r="CI254" s="180"/>
      <c r="CJ254" s="180"/>
      <c r="CK254" s="180"/>
      <c r="CL254" s="180"/>
      <c r="CM254" s="180"/>
      <c r="CN254" s="180"/>
      <c r="CO254" s="180"/>
      <c r="CP254" s="180"/>
      <c r="CQ254" s="180"/>
      <c r="CR254" s="180"/>
      <c r="CS254" s="180"/>
      <c r="CT254" s="180"/>
      <c r="CU254" s="180"/>
      <c r="CV254" s="173"/>
      <c r="CW254" s="173"/>
      <c r="CX254" s="173"/>
      <c r="CY254" s="173"/>
      <c r="CZ254" s="173"/>
      <c r="DA254" s="198"/>
      <c r="DC254" s="197"/>
      <c r="DD254" s="180"/>
      <c r="DE254" s="180"/>
      <c r="DF254" s="180"/>
      <c r="DG254" s="180"/>
      <c r="DH254" s="180"/>
      <c r="DI254" s="180"/>
      <c r="DJ254" s="180"/>
      <c r="DK254" s="180"/>
      <c r="DL254" s="180"/>
      <c r="DM254" s="180"/>
      <c r="DN254" s="180"/>
      <c r="DO254" s="180"/>
      <c r="DP254" s="180"/>
      <c r="DQ254" s="173"/>
      <c r="DR254" s="173"/>
      <c r="DS254" s="173"/>
      <c r="DT254" s="173"/>
      <c r="DU254" s="173"/>
      <c r="DV254" s="198"/>
    </row>
    <row r="255" spans="1:126" x14ac:dyDescent="0.2">
      <c r="A255" s="143" t="s">
        <v>618</v>
      </c>
      <c r="AJ255" s="133"/>
      <c r="AK255" s="133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33"/>
      <c r="CG255" s="179"/>
      <c r="CH255" s="197"/>
      <c r="CI255" s="180"/>
      <c r="CJ255" s="180"/>
      <c r="CK255" s="180"/>
      <c r="CL255" s="180"/>
      <c r="CM255" s="180"/>
      <c r="CN255" s="180"/>
      <c r="CO255" s="180"/>
      <c r="CP255" s="180"/>
      <c r="CQ255" s="180"/>
      <c r="CR255" s="180"/>
      <c r="CS255" s="180"/>
      <c r="CT255" s="180"/>
      <c r="CU255" s="180"/>
      <c r="CV255" s="173"/>
      <c r="CW255" s="173"/>
      <c r="CX255" s="173"/>
      <c r="CY255" s="173"/>
      <c r="CZ255" s="173"/>
      <c r="DA255" s="198"/>
      <c r="DC255" s="197"/>
      <c r="DD255" s="180"/>
      <c r="DE255" s="180"/>
      <c r="DF255" s="180"/>
      <c r="DG255" s="180"/>
      <c r="DH255" s="180"/>
      <c r="DI255" s="180"/>
      <c r="DJ255" s="180"/>
      <c r="DK255" s="180"/>
      <c r="DL255" s="180"/>
      <c r="DM255" s="180"/>
      <c r="DN255" s="180"/>
      <c r="DO255" s="180"/>
      <c r="DP255" s="180"/>
      <c r="DQ255" s="173"/>
      <c r="DR255" s="173"/>
      <c r="DS255" s="173"/>
      <c r="DT255" s="173"/>
      <c r="DU255" s="173"/>
      <c r="DV255" s="198"/>
    </row>
    <row r="256" spans="1:126" x14ac:dyDescent="0.2">
      <c r="A256" s="143" t="s">
        <v>619</v>
      </c>
      <c r="AJ256" s="133"/>
      <c r="AK256" s="133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33"/>
      <c r="CG256" s="179"/>
      <c r="CH256" s="197"/>
      <c r="CI256" s="180"/>
      <c r="CJ256" s="180"/>
      <c r="CK256" s="180"/>
      <c r="CL256" s="180"/>
      <c r="CM256" s="180"/>
      <c r="CN256" s="180"/>
      <c r="CO256" s="180"/>
      <c r="CP256" s="180"/>
      <c r="CQ256" s="180"/>
      <c r="CR256" s="180"/>
      <c r="CS256" s="180"/>
      <c r="CT256" s="180"/>
      <c r="CU256" s="180"/>
      <c r="CV256" s="173"/>
      <c r="CW256" s="173"/>
      <c r="CX256" s="173"/>
      <c r="CY256" s="173"/>
      <c r="CZ256" s="173"/>
      <c r="DA256" s="198"/>
      <c r="DC256" s="197"/>
      <c r="DD256" s="180"/>
      <c r="DE256" s="180"/>
      <c r="DF256" s="180"/>
      <c r="DG256" s="180"/>
      <c r="DH256" s="180"/>
      <c r="DI256" s="180"/>
      <c r="DJ256" s="180"/>
      <c r="DK256" s="180"/>
      <c r="DL256" s="180"/>
      <c r="DM256" s="180"/>
      <c r="DN256" s="180"/>
      <c r="DO256" s="180"/>
      <c r="DP256" s="180"/>
      <c r="DQ256" s="173"/>
      <c r="DR256" s="173"/>
      <c r="DS256" s="173"/>
      <c r="DT256" s="173"/>
      <c r="DU256" s="173"/>
      <c r="DV256" s="198"/>
    </row>
    <row r="257" spans="1:126" x14ac:dyDescent="0.2">
      <c r="A257" s="144" t="s">
        <v>620</v>
      </c>
      <c r="AJ257" s="133"/>
      <c r="AK257" s="133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33"/>
      <c r="CG257" s="179"/>
      <c r="CH257" s="197"/>
      <c r="CI257" s="180"/>
      <c r="CJ257" s="180"/>
      <c r="CK257" s="180"/>
      <c r="CL257" s="180"/>
      <c r="CM257" s="180"/>
      <c r="CN257" s="180"/>
      <c r="CO257" s="180"/>
      <c r="CP257" s="180"/>
      <c r="CQ257" s="180"/>
      <c r="CR257" s="180"/>
      <c r="CS257" s="180"/>
      <c r="CT257" s="180"/>
      <c r="CU257" s="180"/>
      <c r="CV257" s="173"/>
      <c r="CW257" s="173"/>
      <c r="CX257" s="173"/>
      <c r="CY257" s="173"/>
      <c r="CZ257" s="173"/>
      <c r="DA257" s="198"/>
      <c r="DC257" s="197"/>
      <c r="DD257" s="180"/>
      <c r="DE257" s="180"/>
      <c r="DF257" s="180"/>
      <c r="DG257" s="180"/>
      <c r="DH257" s="180"/>
      <c r="DI257" s="180"/>
      <c r="DJ257" s="180"/>
      <c r="DK257" s="180"/>
      <c r="DL257" s="180"/>
      <c r="DM257" s="180"/>
      <c r="DN257" s="180"/>
      <c r="DO257" s="180"/>
      <c r="DP257" s="180"/>
      <c r="DQ257" s="173"/>
      <c r="DR257" s="173"/>
      <c r="DS257" s="173"/>
      <c r="DT257" s="173"/>
      <c r="DU257" s="173"/>
      <c r="DV257" s="198"/>
    </row>
    <row r="258" spans="1:126" x14ac:dyDescent="0.2">
      <c r="A258" s="142" t="s">
        <v>621</v>
      </c>
      <c r="AJ258" s="133"/>
      <c r="AK258" s="133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33"/>
      <c r="CG258" s="176"/>
      <c r="CH258" s="197"/>
      <c r="CI258" s="180"/>
      <c r="CJ258" s="180"/>
      <c r="CK258" s="180"/>
      <c r="CL258" s="180"/>
      <c r="CM258" s="180"/>
      <c r="CN258" s="180"/>
      <c r="CO258" s="180"/>
      <c r="CP258" s="180"/>
      <c r="CQ258" s="180"/>
      <c r="CR258" s="180"/>
      <c r="CS258" s="180"/>
      <c r="CT258" s="180"/>
      <c r="CU258" s="180"/>
      <c r="CV258" s="173"/>
      <c r="CW258" s="173"/>
      <c r="CX258" s="173"/>
      <c r="CY258" s="173"/>
      <c r="CZ258" s="173"/>
      <c r="DA258" s="198"/>
      <c r="DC258" s="197"/>
      <c r="DD258" s="180"/>
      <c r="DE258" s="180"/>
      <c r="DF258" s="180"/>
      <c r="DG258" s="180"/>
      <c r="DH258" s="180"/>
      <c r="DI258" s="180"/>
      <c r="DJ258" s="180"/>
      <c r="DK258" s="180"/>
      <c r="DL258" s="180"/>
      <c r="DM258" s="180"/>
      <c r="DN258" s="180"/>
      <c r="DO258" s="180"/>
      <c r="DP258" s="180"/>
      <c r="DQ258" s="173"/>
      <c r="DR258" s="173"/>
      <c r="DS258" s="173"/>
      <c r="DT258" s="173"/>
      <c r="DU258" s="173"/>
      <c r="DV258" s="198"/>
    </row>
    <row r="259" spans="1:126" x14ac:dyDescent="0.2">
      <c r="A259" s="143" t="s">
        <v>622</v>
      </c>
      <c r="AJ259" s="133"/>
      <c r="AK259" s="133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33"/>
      <c r="CG259" s="176"/>
      <c r="CH259" s="197"/>
      <c r="CI259" s="180"/>
      <c r="CJ259" s="180"/>
      <c r="CK259" s="180"/>
      <c r="CL259" s="180"/>
      <c r="CM259" s="180"/>
      <c r="CN259" s="180"/>
      <c r="CO259" s="180"/>
      <c r="CP259" s="180"/>
      <c r="CQ259" s="180"/>
      <c r="CR259" s="180"/>
      <c r="CS259" s="180"/>
      <c r="CT259" s="180"/>
      <c r="CU259" s="180"/>
      <c r="CV259" s="173"/>
      <c r="CW259" s="173"/>
      <c r="CX259" s="173"/>
      <c r="CY259" s="173"/>
      <c r="CZ259" s="173"/>
      <c r="DA259" s="198"/>
      <c r="DC259" s="197"/>
      <c r="DD259" s="180"/>
      <c r="DE259" s="180"/>
      <c r="DF259" s="180"/>
      <c r="DG259" s="180"/>
      <c r="DH259" s="180"/>
      <c r="DI259" s="180"/>
      <c r="DJ259" s="180"/>
      <c r="DK259" s="180"/>
      <c r="DL259" s="180"/>
      <c r="DM259" s="180"/>
      <c r="DN259" s="180"/>
      <c r="DO259" s="180"/>
      <c r="DP259" s="180"/>
      <c r="DQ259" s="173"/>
      <c r="DR259" s="173"/>
      <c r="DS259" s="173"/>
      <c r="DT259" s="173"/>
      <c r="DU259" s="173"/>
      <c r="DV259" s="198"/>
    </row>
    <row r="260" spans="1:126" x14ac:dyDescent="0.2">
      <c r="A260" s="143" t="s">
        <v>623</v>
      </c>
      <c r="AJ260" s="133"/>
      <c r="AK260" s="133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33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33"/>
      <c r="CG260" s="176"/>
      <c r="CH260" s="199"/>
      <c r="CI260" s="200"/>
      <c r="CJ260" s="200"/>
      <c r="CK260" s="200"/>
      <c r="CL260" s="200"/>
      <c r="CM260" s="200"/>
      <c r="CN260" s="200"/>
      <c r="CO260" s="200"/>
      <c r="CP260" s="200"/>
      <c r="CQ260" s="201"/>
      <c r="CR260" s="202"/>
      <c r="CS260" s="200"/>
      <c r="CT260" s="200"/>
      <c r="CU260" s="200"/>
      <c r="CV260" s="203"/>
      <c r="CW260" s="203"/>
      <c r="CX260" s="203"/>
      <c r="CY260" s="203"/>
      <c r="CZ260" s="203"/>
      <c r="DA260" s="204"/>
      <c r="DC260" s="199"/>
      <c r="DD260" s="200"/>
      <c r="DE260" s="200"/>
      <c r="DF260" s="200"/>
      <c r="DG260" s="200"/>
      <c r="DH260" s="200"/>
      <c r="DI260" s="200"/>
      <c r="DJ260" s="200"/>
      <c r="DK260" s="200"/>
      <c r="DL260" s="200"/>
      <c r="DM260" s="200"/>
      <c r="DN260" s="200"/>
      <c r="DO260" s="200"/>
      <c r="DP260" s="200"/>
      <c r="DQ260" s="203"/>
      <c r="DR260" s="203"/>
      <c r="DS260" s="203"/>
      <c r="DT260" s="203"/>
      <c r="DU260" s="203"/>
      <c r="DV260" s="204"/>
    </row>
    <row r="261" spans="1:126" x14ac:dyDescent="0.2">
      <c r="A261" s="143" t="s">
        <v>624</v>
      </c>
      <c r="AJ261" s="133"/>
      <c r="AK261" s="133"/>
      <c r="AL261" s="183"/>
      <c r="AM261" s="183"/>
      <c r="AN261" s="183"/>
      <c r="AO261" s="183"/>
      <c r="AP261" s="183"/>
      <c r="AQ261" s="183"/>
      <c r="AR261" s="183"/>
      <c r="AS261" s="183"/>
      <c r="AT261" s="183"/>
      <c r="AU261" s="183"/>
      <c r="AV261" s="183"/>
      <c r="AW261" s="183"/>
      <c r="AX261" s="183"/>
      <c r="AY261" s="183"/>
      <c r="AZ261" s="183"/>
      <c r="BA261" s="183"/>
      <c r="BB261" s="183"/>
      <c r="BC261" s="183"/>
      <c r="BD261" s="183"/>
      <c r="BE261" s="183"/>
      <c r="BF261" s="133"/>
      <c r="CG261" s="176">
        <v>14</v>
      </c>
      <c r="CH261" s="192"/>
      <c r="CI261" s="193"/>
      <c r="CJ261" s="193"/>
      <c r="CK261" s="193"/>
      <c r="CL261" s="193"/>
      <c r="CM261" s="193"/>
      <c r="CN261" s="193"/>
      <c r="CO261" s="193"/>
      <c r="CP261" s="193"/>
      <c r="CQ261" s="193"/>
      <c r="CR261" s="193"/>
      <c r="CS261" s="193"/>
      <c r="CT261" s="193"/>
      <c r="CU261" s="193"/>
      <c r="CV261" s="194"/>
      <c r="CW261" s="194"/>
      <c r="CX261" s="194"/>
      <c r="CY261" s="194"/>
      <c r="CZ261" s="194"/>
      <c r="DA261" s="195"/>
      <c r="DC261" s="192"/>
      <c r="DD261" s="193"/>
      <c r="DE261" s="193"/>
      <c r="DF261" s="193"/>
      <c r="DG261" s="193"/>
      <c r="DH261" s="193"/>
      <c r="DI261" s="193"/>
      <c r="DJ261" s="193"/>
      <c r="DK261" s="193"/>
      <c r="DL261" s="193"/>
      <c r="DM261" s="193"/>
      <c r="DN261" s="193"/>
      <c r="DO261" s="193"/>
      <c r="DP261" s="193"/>
      <c r="DQ261" s="194"/>
      <c r="DR261" s="194"/>
      <c r="DS261" s="194"/>
      <c r="DT261" s="194"/>
      <c r="DU261" s="194"/>
      <c r="DV261" s="195"/>
    </row>
    <row r="262" spans="1:126" x14ac:dyDescent="0.2">
      <c r="A262" s="143" t="s">
        <v>625</v>
      </c>
      <c r="AJ262" s="133"/>
      <c r="AK262" s="133"/>
      <c r="AL262" s="183"/>
      <c r="AM262" s="183"/>
      <c r="AN262" s="183"/>
      <c r="AO262" s="183"/>
      <c r="AP262" s="183"/>
      <c r="AQ262" s="183"/>
      <c r="AR262" s="183"/>
      <c r="AS262" s="183"/>
      <c r="AT262" s="183"/>
      <c r="AU262" s="183"/>
      <c r="AV262" s="183"/>
      <c r="AW262" s="183"/>
      <c r="AX262" s="183"/>
      <c r="AY262" s="183"/>
      <c r="AZ262" s="183"/>
      <c r="BA262" s="183"/>
      <c r="BB262" s="183"/>
      <c r="BC262" s="183"/>
      <c r="BD262" s="183"/>
      <c r="BE262" s="183"/>
      <c r="BF262" s="133"/>
      <c r="CG262" s="176"/>
      <c r="CH262" s="169"/>
      <c r="CI262" s="177"/>
      <c r="CJ262" s="177"/>
      <c r="CK262" s="177"/>
      <c r="CL262" s="177"/>
      <c r="CM262" s="177"/>
      <c r="CN262" s="177"/>
      <c r="CO262" s="177"/>
      <c r="CP262" s="177"/>
      <c r="CQ262" s="177"/>
      <c r="CR262" s="177"/>
      <c r="CS262" s="177"/>
      <c r="CT262" s="177"/>
      <c r="CU262" s="177"/>
      <c r="CV262" s="172"/>
      <c r="CW262" s="172"/>
      <c r="CX262" s="172"/>
      <c r="CY262" s="172"/>
      <c r="CZ262" s="172"/>
      <c r="DA262" s="196"/>
      <c r="DC262" s="169"/>
      <c r="DD262" s="177"/>
      <c r="DE262" s="177"/>
      <c r="DF262" s="177"/>
      <c r="DG262" s="177"/>
      <c r="DH262" s="177"/>
      <c r="DI262" s="177"/>
      <c r="DJ262" s="177"/>
      <c r="DK262" s="177"/>
      <c r="DL262" s="177"/>
      <c r="DM262" s="177"/>
      <c r="DN262" s="177"/>
      <c r="DO262" s="177"/>
      <c r="DP262" s="177"/>
      <c r="DQ262" s="172"/>
      <c r="DR262" s="172"/>
      <c r="DS262" s="172"/>
      <c r="DT262" s="172"/>
      <c r="DU262" s="172"/>
      <c r="DV262" s="196"/>
    </row>
    <row r="263" spans="1:126" x14ac:dyDescent="0.2">
      <c r="A263" s="143" t="s">
        <v>626</v>
      </c>
      <c r="AJ263" s="133"/>
      <c r="AK263" s="133"/>
      <c r="AL263" s="183"/>
      <c r="AM263" s="183"/>
      <c r="AN263" s="183"/>
      <c r="AO263" s="183"/>
      <c r="AP263" s="183"/>
      <c r="AQ263" s="183"/>
      <c r="AR263" s="183"/>
      <c r="AS263" s="183"/>
      <c r="AT263" s="183"/>
      <c r="AU263" s="183"/>
      <c r="AV263" s="183"/>
      <c r="AW263" s="183"/>
      <c r="AX263" s="183"/>
      <c r="AY263" s="183"/>
      <c r="AZ263" s="183"/>
      <c r="BA263" s="183"/>
      <c r="BB263" s="183"/>
      <c r="BC263" s="183"/>
      <c r="BD263" s="183"/>
      <c r="BE263" s="183"/>
      <c r="BF263" s="133"/>
      <c r="CG263" s="131"/>
      <c r="CH263" s="169"/>
      <c r="CI263" s="177"/>
      <c r="CJ263" s="177"/>
      <c r="CK263" s="177"/>
      <c r="CL263" s="177"/>
      <c r="CM263" s="177"/>
      <c r="CN263" s="177"/>
      <c r="CO263" s="177"/>
      <c r="CP263" s="177"/>
      <c r="CQ263" s="177"/>
      <c r="CR263" s="177"/>
      <c r="CS263" s="177"/>
      <c r="CT263" s="177"/>
      <c r="CU263" s="177"/>
      <c r="CV263" s="172"/>
      <c r="CW263" s="172"/>
      <c r="CX263" s="172"/>
      <c r="CY263" s="172"/>
      <c r="CZ263" s="172"/>
      <c r="DA263" s="196"/>
      <c r="DC263" s="169"/>
      <c r="DD263" s="177"/>
      <c r="DE263" s="177"/>
      <c r="DF263" s="177"/>
      <c r="DG263" s="177"/>
      <c r="DH263" s="177"/>
      <c r="DI263" s="177"/>
      <c r="DJ263" s="177"/>
      <c r="DK263" s="177"/>
      <c r="DL263" s="177"/>
      <c r="DM263" s="177"/>
      <c r="DN263" s="177"/>
      <c r="DO263" s="177"/>
      <c r="DP263" s="177"/>
      <c r="DQ263" s="172"/>
      <c r="DR263" s="172"/>
      <c r="DS263" s="172"/>
      <c r="DT263" s="172"/>
      <c r="DU263" s="172"/>
      <c r="DV263" s="196"/>
    </row>
    <row r="264" spans="1:126" x14ac:dyDescent="0.2">
      <c r="A264" s="143" t="s">
        <v>627</v>
      </c>
      <c r="AJ264" s="133"/>
      <c r="AK264" s="133"/>
      <c r="AL264" s="183"/>
      <c r="AM264" s="183"/>
      <c r="AN264" s="183"/>
      <c r="AO264" s="183"/>
      <c r="AP264" s="183"/>
      <c r="AQ264" s="183"/>
      <c r="AR264" s="183"/>
      <c r="AS264" s="183"/>
      <c r="AT264" s="183"/>
      <c r="AU264" s="183"/>
      <c r="AV264" s="183"/>
      <c r="AW264" s="183"/>
      <c r="AX264" s="183"/>
      <c r="AY264" s="183"/>
      <c r="AZ264" s="183"/>
      <c r="BA264" s="183"/>
      <c r="BB264" s="183"/>
      <c r="BC264" s="183"/>
      <c r="BD264" s="183"/>
      <c r="BE264" s="183"/>
      <c r="BF264" s="133"/>
      <c r="CG264" s="176"/>
      <c r="CH264" s="169"/>
      <c r="CI264" s="177"/>
      <c r="CJ264" s="177"/>
      <c r="CK264" s="177"/>
      <c r="CL264" s="177"/>
      <c r="CM264" s="177"/>
      <c r="CN264" s="177"/>
      <c r="CO264" s="177"/>
      <c r="CP264" s="177"/>
      <c r="CQ264" s="177"/>
      <c r="CR264" s="177"/>
      <c r="CS264" s="177"/>
      <c r="CT264" s="177"/>
      <c r="CU264" s="177"/>
      <c r="CV264" s="172"/>
      <c r="CW264" s="172"/>
      <c r="CX264" s="172"/>
      <c r="CY264" s="172"/>
      <c r="CZ264" s="172"/>
      <c r="DA264" s="196"/>
      <c r="DC264" s="169"/>
      <c r="DD264" s="177"/>
      <c r="DE264" s="177"/>
      <c r="DF264" s="177"/>
      <c r="DG264" s="177"/>
      <c r="DH264" s="177"/>
      <c r="DI264" s="177"/>
      <c r="DJ264" s="177"/>
      <c r="DK264" s="177"/>
      <c r="DL264" s="177"/>
      <c r="DM264" s="177"/>
      <c r="DN264" s="177"/>
      <c r="DO264" s="177"/>
      <c r="DP264" s="177"/>
      <c r="DQ264" s="172"/>
      <c r="DR264" s="172"/>
      <c r="DS264" s="172"/>
      <c r="DT264" s="172"/>
      <c r="DU264" s="172"/>
      <c r="DV264" s="196"/>
    </row>
    <row r="265" spans="1:126" x14ac:dyDescent="0.2">
      <c r="A265" s="143" t="s">
        <v>628</v>
      </c>
      <c r="AJ265" s="133"/>
      <c r="AK265" s="133"/>
      <c r="AL265" s="183"/>
      <c r="AM265" s="183"/>
      <c r="AN265" s="183"/>
      <c r="AO265" s="183"/>
      <c r="AP265" s="183"/>
      <c r="AQ265" s="183"/>
      <c r="AR265" s="183"/>
      <c r="AS265" s="183"/>
      <c r="AT265" s="183"/>
      <c r="AU265" s="183"/>
      <c r="AV265" s="183"/>
      <c r="AW265" s="183"/>
      <c r="AX265" s="183"/>
      <c r="AY265" s="183"/>
      <c r="AZ265" s="183"/>
      <c r="BA265" s="183"/>
      <c r="BB265" s="183"/>
      <c r="BC265" s="183"/>
      <c r="BD265" s="183"/>
      <c r="BE265" s="183"/>
      <c r="BF265" s="133"/>
      <c r="CG265" s="178"/>
      <c r="CH265" s="169"/>
      <c r="CI265" s="177"/>
      <c r="CJ265" s="177"/>
      <c r="CK265" s="177"/>
      <c r="CL265" s="177"/>
      <c r="CM265" s="177"/>
      <c r="CN265" s="177"/>
      <c r="CO265" s="177"/>
      <c r="CP265" s="177"/>
      <c r="CQ265" s="177"/>
      <c r="CR265" s="177"/>
      <c r="CS265" s="177"/>
      <c r="CT265" s="177"/>
      <c r="CU265" s="177"/>
      <c r="CV265" s="172"/>
      <c r="CW265" s="172"/>
      <c r="CX265" s="172"/>
      <c r="CY265" s="172"/>
      <c r="CZ265" s="172"/>
      <c r="DA265" s="196"/>
      <c r="DC265" s="169"/>
      <c r="DD265" s="177"/>
      <c r="DE265" s="177"/>
      <c r="DF265" s="177"/>
      <c r="DG265" s="177"/>
      <c r="DH265" s="177"/>
      <c r="DI265" s="177"/>
      <c r="DJ265" s="177"/>
      <c r="DK265" s="177"/>
      <c r="DL265" s="177"/>
      <c r="DM265" s="177"/>
      <c r="DN265" s="177"/>
      <c r="DO265" s="177"/>
      <c r="DP265" s="177"/>
      <c r="DQ265" s="172"/>
      <c r="DR265" s="172"/>
      <c r="DS265" s="172"/>
      <c r="DT265" s="172"/>
      <c r="DU265" s="172"/>
      <c r="DV265" s="196"/>
    </row>
    <row r="266" spans="1:126" x14ac:dyDescent="0.2">
      <c r="A266" s="143" t="s">
        <v>629</v>
      </c>
      <c r="AJ266" s="133"/>
      <c r="AK266" s="133"/>
      <c r="AL266" s="183"/>
      <c r="AM266" s="183"/>
      <c r="AN266" s="183"/>
      <c r="AO266" s="183"/>
      <c r="AP266" s="183"/>
      <c r="AQ266" s="183"/>
      <c r="AR266" s="183"/>
      <c r="AS266" s="183"/>
      <c r="AT266" s="183"/>
      <c r="AU266" s="183"/>
      <c r="AV266" s="183"/>
      <c r="AW266" s="183"/>
      <c r="AX266" s="183"/>
      <c r="AY266" s="183"/>
      <c r="AZ266" s="183"/>
      <c r="BA266" s="183"/>
      <c r="BB266" s="183"/>
      <c r="BC266" s="183"/>
      <c r="BD266" s="183"/>
      <c r="BE266" s="183"/>
      <c r="BF266" s="133"/>
      <c r="CG266" s="179"/>
      <c r="CH266" s="169"/>
      <c r="CI266" s="177"/>
      <c r="CJ266" s="177"/>
      <c r="CK266" s="177"/>
      <c r="CL266" s="177"/>
      <c r="CM266" s="177"/>
      <c r="CN266" s="177"/>
      <c r="CO266" s="177"/>
      <c r="CP266" s="177"/>
      <c r="CQ266" s="177"/>
      <c r="CR266" s="177"/>
      <c r="CS266" s="177"/>
      <c r="CT266" s="177"/>
      <c r="CU266" s="177"/>
      <c r="CV266" s="172"/>
      <c r="CW266" s="172"/>
      <c r="CX266" s="172"/>
      <c r="CY266" s="172"/>
      <c r="CZ266" s="172"/>
      <c r="DA266" s="196"/>
      <c r="DC266" s="169"/>
      <c r="DD266" s="177"/>
      <c r="DE266" s="177"/>
      <c r="DF266" s="177"/>
      <c r="DG266" s="177"/>
      <c r="DH266" s="177"/>
      <c r="DI266" s="177"/>
      <c r="DJ266" s="177"/>
      <c r="DK266" s="177"/>
      <c r="DL266" s="177"/>
      <c r="DM266" s="177"/>
      <c r="DN266" s="177"/>
      <c r="DO266" s="177"/>
      <c r="DP266" s="177"/>
      <c r="DQ266" s="172"/>
      <c r="DR266" s="172"/>
      <c r="DS266" s="172"/>
      <c r="DT266" s="172"/>
      <c r="DU266" s="172"/>
      <c r="DV266" s="196"/>
    </row>
    <row r="267" spans="1:126" x14ac:dyDescent="0.2">
      <c r="A267" s="143" t="s">
        <v>630</v>
      </c>
      <c r="AJ267" s="133"/>
      <c r="AK267" s="133"/>
      <c r="AL267" s="183"/>
      <c r="AM267" s="183"/>
      <c r="AN267" s="183"/>
      <c r="AO267" s="183"/>
      <c r="AP267" s="183"/>
      <c r="AQ267" s="183"/>
      <c r="AR267" s="183"/>
      <c r="AS267" s="183"/>
      <c r="AT267" s="183"/>
      <c r="AU267" s="183"/>
      <c r="AV267" s="183"/>
      <c r="AW267" s="183"/>
      <c r="AX267" s="183"/>
      <c r="AY267" s="183"/>
      <c r="AZ267" s="183"/>
      <c r="BA267" s="183"/>
      <c r="BB267" s="183"/>
      <c r="BC267" s="183"/>
      <c r="BD267" s="183"/>
      <c r="BE267" s="183"/>
      <c r="BF267" s="133"/>
      <c r="CG267" s="179"/>
      <c r="CH267" s="169"/>
      <c r="CI267" s="177"/>
      <c r="CJ267" s="177"/>
      <c r="CK267" s="177"/>
      <c r="CL267" s="177"/>
      <c r="CM267" s="177"/>
      <c r="CN267" s="177"/>
      <c r="CO267" s="177"/>
      <c r="CP267" s="177"/>
      <c r="CQ267" s="177"/>
      <c r="CR267" s="177"/>
      <c r="CS267" s="177"/>
      <c r="CT267" s="177"/>
      <c r="CU267" s="177"/>
      <c r="CV267" s="172"/>
      <c r="CW267" s="172"/>
      <c r="CX267" s="172"/>
      <c r="CY267" s="172"/>
      <c r="CZ267" s="172"/>
      <c r="DA267" s="196"/>
      <c r="DC267" s="169"/>
      <c r="DD267" s="177"/>
      <c r="DE267" s="177"/>
      <c r="DF267" s="177"/>
      <c r="DG267" s="177"/>
      <c r="DH267" s="177"/>
      <c r="DI267" s="177"/>
      <c r="DJ267" s="177"/>
      <c r="DK267" s="177"/>
      <c r="DL267" s="177"/>
      <c r="DM267" s="177"/>
      <c r="DN267" s="177"/>
      <c r="DO267" s="177"/>
      <c r="DP267" s="177"/>
      <c r="DQ267" s="172"/>
      <c r="DR267" s="172"/>
      <c r="DS267" s="172"/>
      <c r="DT267" s="172"/>
      <c r="DU267" s="172"/>
      <c r="DV267" s="196"/>
    </row>
    <row r="268" spans="1:126" x14ac:dyDescent="0.2">
      <c r="A268" s="143" t="s">
        <v>631</v>
      </c>
      <c r="AJ268" s="133"/>
      <c r="AK268" s="133"/>
      <c r="AL268" s="183"/>
      <c r="AM268" s="183"/>
      <c r="AN268" s="183"/>
      <c r="AO268" s="183"/>
      <c r="AP268" s="183"/>
      <c r="AQ268" s="183"/>
      <c r="AR268" s="183"/>
      <c r="AS268" s="183"/>
      <c r="AT268" s="183"/>
      <c r="AU268" s="183"/>
      <c r="AV268" s="183"/>
      <c r="AW268" s="183"/>
      <c r="AX268" s="183"/>
      <c r="AY268" s="183"/>
      <c r="AZ268" s="183"/>
      <c r="BA268" s="183"/>
      <c r="BB268" s="183"/>
      <c r="BC268" s="183"/>
      <c r="BD268" s="183"/>
      <c r="BE268" s="183"/>
      <c r="BF268" s="133"/>
      <c r="CG268" s="179"/>
      <c r="CH268" s="169"/>
      <c r="CI268" s="177"/>
      <c r="CJ268" s="177"/>
      <c r="CK268" s="177"/>
      <c r="CL268" s="177"/>
      <c r="CM268" s="177"/>
      <c r="CN268" s="177"/>
      <c r="CO268" s="177"/>
      <c r="CP268" s="177"/>
      <c r="CQ268" s="177"/>
      <c r="CR268" s="177"/>
      <c r="CS268" s="177"/>
      <c r="CT268" s="177"/>
      <c r="CU268" s="177"/>
      <c r="CV268" s="172"/>
      <c r="CW268" s="172"/>
      <c r="CX268" s="172"/>
      <c r="CY268" s="172"/>
      <c r="CZ268" s="172"/>
      <c r="DA268" s="196"/>
      <c r="DC268" s="169"/>
      <c r="DD268" s="177"/>
      <c r="DE268" s="177"/>
      <c r="DF268" s="177"/>
      <c r="DG268" s="177"/>
      <c r="DH268" s="177"/>
      <c r="DI268" s="177"/>
      <c r="DJ268" s="177"/>
      <c r="DK268" s="177"/>
      <c r="DL268" s="177"/>
      <c r="DM268" s="177"/>
      <c r="DN268" s="177"/>
      <c r="DO268" s="177"/>
      <c r="DP268" s="177"/>
      <c r="DQ268" s="172"/>
      <c r="DR268" s="172"/>
      <c r="DS268" s="172"/>
      <c r="DT268" s="172"/>
      <c r="DU268" s="172"/>
      <c r="DV268" s="196"/>
    </row>
    <row r="269" spans="1:126" x14ac:dyDescent="0.2">
      <c r="A269" s="143" t="s">
        <v>632</v>
      </c>
      <c r="AJ269" s="133"/>
      <c r="AK269" s="133"/>
      <c r="AL269" s="183"/>
      <c r="AM269" s="183"/>
      <c r="AN269" s="183"/>
      <c r="AO269" s="183"/>
      <c r="AP269" s="183"/>
      <c r="AQ269" s="183"/>
      <c r="AR269" s="183"/>
      <c r="AS269" s="183"/>
      <c r="AT269" s="183"/>
      <c r="AU269" s="183"/>
      <c r="AV269" s="183"/>
      <c r="AW269" s="183"/>
      <c r="AX269" s="183"/>
      <c r="AY269" s="183"/>
      <c r="AZ269" s="183"/>
      <c r="BA269" s="183"/>
      <c r="BB269" s="183"/>
      <c r="BC269" s="183"/>
      <c r="BD269" s="183"/>
      <c r="BE269" s="183"/>
      <c r="BF269" s="133"/>
      <c r="CG269" s="179"/>
      <c r="CH269" s="169"/>
      <c r="CI269" s="177"/>
      <c r="CJ269" s="177"/>
      <c r="CK269" s="177"/>
      <c r="CL269" s="177"/>
      <c r="CM269" s="177"/>
      <c r="CN269" s="177"/>
      <c r="CO269" s="177"/>
      <c r="CP269" s="177"/>
      <c r="CQ269" s="177"/>
      <c r="CR269" s="177"/>
      <c r="CS269" s="177"/>
      <c r="CT269" s="177"/>
      <c r="CU269" s="177"/>
      <c r="CV269" s="172"/>
      <c r="CW269" s="172"/>
      <c r="CX269" s="172"/>
      <c r="CY269" s="172"/>
      <c r="CZ269" s="172"/>
      <c r="DA269" s="196"/>
      <c r="DC269" s="169"/>
      <c r="DD269" s="177"/>
      <c r="DE269" s="177"/>
      <c r="DF269" s="177"/>
      <c r="DG269" s="177"/>
      <c r="DH269" s="177"/>
      <c r="DI269" s="177"/>
      <c r="DJ269" s="177"/>
      <c r="DK269" s="177"/>
      <c r="DL269" s="177"/>
      <c r="DM269" s="177"/>
      <c r="DN269" s="177"/>
      <c r="DO269" s="177"/>
      <c r="DP269" s="177"/>
      <c r="DQ269" s="172"/>
      <c r="DR269" s="172"/>
      <c r="DS269" s="172"/>
      <c r="DT269" s="172"/>
      <c r="DU269" s="172"/>
      <c r="DV269" s="196"/>
    </row>
    <row r="270" spans="1:126" x14ac:dyDescent="0.2">
      <c r="A270" s="143" t="s">
        <v>633</v>
      </c>
      <c r="AJ270" s="133"/>
      <c r="AK270" s="133"/>
      <c r="AL270" s="183"/>
      <c r="AM270" s="183"/>
      <c r="AN270" s="183"/>
      <c r="AO270" s="183"/>
      <c r="AP270" s="183"/>
      <c r="AQ270" s="183"/>
      <c r="AR270" s="183"/>
      <c r="AS270" s="183"/>
      <c r="AT270" s="183"/>
      <c r="AU270" s="183"/>
      <c r="AV270" s="183"/>
      <c r="AW270" s="183"/>
      <c r="AX270" s="183"/>
      <c r="AY270" s="183"/>
      <c r="AZ270" s="183"/>
      <c r="BA270" s="183"/>
      <c r="BB270" s="183"/>
      <c r="BC270" s="183"/>
      <c r="BD270" s="183"/>
      <c r="BE270" s="183"/>
      <c r="BF270" s="133"/>
      <c r="CG270" s="179"/>
      <c r="CH270" s="169"/>
      <c r="CI270" s="177"/>
      <c r="CJ270" s="177"/>
      <c r="CK270" s="177"/>
      <c r="CL270" s="177"/>
      <c r="CM270" s="177"/>
      <c r="CN270" s="177"/>
      <c r="CO270" s="177"/>
      <c r="CP270" s="177"/>
      <c r="CQ270" s="177"/>
      <c r="CR270" s="177"/>
      <c r="CS270" s="177"/>
      <c r="CT270" s="177"/>
      <c r="CU270" s="177"/>
      <c r="CV270" s="172"/>
      <c r="CW270" s="172"/>
      <c r="CX270" s="172"/>
      <c r="CY270" s="172"/>
      <c r="CZ270" s="172"/>
      <c r="DA270" s="196"/>
      <c r="DC270" s="169"/>
      <c r="DD270" s="177"/>
      <c r="DE270" s="177"/>
      <c r="DF270" s="177"/>
      <c r="DG270" s="177"/>
      <c r="DH270" s="177"/>
      <c r="DI270" s="177"/>
      <c r="DJ270" s="177"/>
      <c r="DK270" s="177"/>
      <c r="DL270" s="177"/>
      <c r="DM270" s="177"/>
      <c r="DN270" s="177"/>
      <c r="DO270" s="177"/>
      <c r="DP270" s="177"/>
      <c r="DQ270" s="172"/>
      <c r="DR270" s="172"/>
      <c r="DS270" s="172"/>
      <c r="DT270" s="172"/>
      <c r="DU270" s="172"/>
      <c r="DV270" s="196"/>
    </row>
    <row r="271" spans="1:126" x14ac:dyDescent="0.2">
      <c r="A271" s="143" t="s">
        <v>634</v>
      </c>
      <c r="AJ271" s="133"/>
      <c r="AK271" s="133"/>
      <c r="AL271" s="183"/>
      <c r="AM271" s="183"/>
      <c r="AN271" s="183"/>
      <c r="AO271" s="183"/>
      <c r="AP271" s="183"/>
      <c r="AQ271" s="183"/>
      <c r="AR271" s="183"/>
      <c r="AS271" s="183"/>
      <c r="AT271" s="183"/>
      <c r="AU271" s="183"/>
      <c r="AV271" s="183"/>
      <c r="AW271" s="183"/>
      <c r="AX271" s="183"/>
      <c r="AY271" s="183"/>
      <c r="AZ271" s="183"/>
      <c r="BA271" s="183"/>
      <c r="BB271" s="183"/>
      <c r="BC271" s="183"/>
      <c r="BD271" s="183"/>
      <c r="BE271" s="183"/>
      <c r="BF271" s="133"/>
      <c r="CG271" s="179"/>
      <c r="CH271" s="169"/>
      <c r="CI271" s="177"/>
      <c r="CJ271" s="177"/>
      <c r="CK271" s="177"/>
      <c r="CL271" s="177"/>
      <c r="CM271" s="177"/>
      <c r="CN271" s="177"/>
      <c r="CO271" s="177"/>
      <c r="CP271" s="177"/>
      <c r="CQ271" s="177"/>
      <c r="CR271" s="177"/>
      <c r="CS271" s="177"/>
      <c r="CT271" s="177"/>
      <c r="CU271" s="177"/>
      <c r="CV271" s="172"/>
      <c r="CW271" s="172"/>
      <c r="CX271" s="172"/>
      <c r="CY271" s="172"/>
      <c r="CZ271" s="172"/>
      <c r="DA271" s="196"/>
      <c r="DC271" s="169"/>
      <c r="DD271" s="177"/>
      <c r="DE271" s="177"/>
      <c r="DF271" s="177"/>
      <c r="DG271" s="177"/>
      <c r="DH271" s="177"/>
      <c r="DI271" s="177"/>
      <c r="DJ271" s="177"/>
      <c r="DK271" s="177"/>
      <c r="DL271" s="177"/>
      <c r="DM271" s="177"/>
      <c r="DN271" s="177"/>
      <c r="DO271" s="177"/>
      <c r="DP271" s="177"/>
      <c r="DQ271" s="172"/>
      <c r="DR271" s="172"/>
      <c r="DS271" s="172"/>
      <c r="DT271" s="172"/>
      <c r="DU271" s="172"/>
      <c r="DV271" s="196"/>
    </row>
    <row r="272" spans="1:126" x14ac:dyDescent="0.2">
      <c r="A272" s="143" t="s">
        <v>635</v>
      </c>
      <c r="AJ272" s="133"/>
      <c r="AK272" s="133"/>
      <c r="AL272" s="183"/>
      <c r="AM272" s="183"/>
      <c r="AN272" s="183"/>
      <c r="AO272" s="183"/>
      <c r="AP272" s="183"/>
      <c r="AQ272" s="183"/>
      <c r="AR272" s="183"/>
      <c r="AS272" s="183"/>
      <c r="AT272" s="183"/>
      <c r="AU272" s="183"/>
      <c r="AV272" s="183"/>
      <c r="AW272" s="183"/>
      <c r="AX272" s="183"/>
      <c r="AY272" s="183"/>
      <c r="AZ272" s="183"/>
      <c r="BA272" s="183"/>
      <c r="BB272" s="183"/>
      <c r="BC272" s="183"/>
      <c r="BD272" s="183"/>
      <c r="BE272" s="183"/>
      <c r="BF272" s="133"/>
      <c r="CG272" s="179"/>
      <c r="CH272" s="169"/>
      <c r="CI272" s="177"/>
      <c r="CJ272" s="177"/>
      <c r="CK272" s="177"/>
      <c r="CL272" s="177"/>
      <c r="CM272" s="177"/>
      <c r="CN272" s="177"/>
      <c r="CO272" s="177"/>
      <c r="CP272" s="177"/>
      <c r="CQ272" s="177"/>
      <c r="CR272" s="177"/>
      <c r="CS272" s="177"/>
      <c r="CT272" s="177"/>
      <c r="CU272" s="177"/>
      <c r="CV272" s="172"/>
      <c r="CW272" s="172"/>
      <c r="CX272" s="172"/>
      <c r="CY272" s="172"/>
      <c r="CZ272" s="172"/>
      <c r="DA272" s="196"/>
      <c r="DC272" s="169"/>
      <c r="DD272" s="177"/>
      <c r="DE272" s="177"/>
      <c r="DF272" s="177"/>
      <c r="DG272" s="177"/>
      <c r="DH272" s="177"/>
      <c r="DI272" s="177"/>
      <c r="DJ272" s="177"/>
      <c r="DK272" s="177"/>
      <c r="DL272" s="177"/>
      <c r="DM272" s="177"/>
      <c r="DN272" s="177"/>
      <c r="DO272" s="177"/>
      <c r="DP272" s="177"/>
      <c r="DQ272" s="172"/>
      <c r="DR272" s="172"/>
      <c r="DS272" s="172"/>
      <c r="DT272" s="172"/>
      <c r="DU272" s="172"/>
      <c r="DV272" s="196"/>
    </row>
    <row r="273" spans="1:126" x14ac:dyDescent="0.2">
      <c r="A273" s="143" t="s">
        <v>636</v>
      </c>
      <c r="AJ273" s="133"/>
      <c r="AK273" s="133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33"/>
      <c r="CG273" s="179"/>
      <c r="CH273" s="197"/>
      <c r="CI273" s="180"/>
      <c r="CJ273" s="180"/>
      <c r="CK273" s="180"/>
      <c r="CL273" s="180"/>
      <c r="CM273" s="180"/>
      <c r="CN273" s="180"/>
      <c r="CO273" s="180"/>
      <c r="CP273" s="180"/>
      <c r="CQ273" s="180"/>
      <c r="CR273" s="180"/>
      <c r="CS273" s="180"/>
      <c r="CT273" s="180"/>
      <c r="CU273" s="180"/>
      <c r="CV273" s="173"/>
      <c r="CW273" s="173"/>
      <c r="CX273" s="173"/>
      <c r="CY273" s="173"/>
      <c r="CZ273" s="173"/>
      <c r="DA273" s="198"/>
      <c r="DC273" s="197"/>
      <c r="DD273" s="180"/>
      <c r="DE273" s="180"/>
      <c r="DF273" s="180"/>
      <c r="DG273" s="180"/>
      <c r="DH273" s="180"/>
      <c r="DI273" s="180"/>
      <c r="DJ273" s="180"/>
      <c r="DK273" s="180"/>
      <c r="DL273" s="180"/>
      <c r="DM273" s="180"/>
      <c r="DN273" s="180"/>
      <c r="DO273" s="180"/>
      <c r="DP273" s="180"/>
      <c r="DQ273" s="173"/>
      <c r="DR273" s="173"/>
      <c r="DS273" s="173"/>
      <c r="DT273" s="173"/>
      <c r="DU273" s="173"/>
      <c r="DV273" s="198"/>
    </row>
    <row r="274" spans="1:126" x14ac:dyDescent="0.2">
      <c r="A274" s="143" t="s">
        <v>637</v>
      </c>
      <c r="AJ274" s="133"/>
      <c r="AK274" s="133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33"/>
      <c r="CG274" s="179"/>
      <c r="CH274" s="197"/>
      <c r="CI274" s="180"/>
      <c r="CJ274" s="180"/>
      <c r="CK274" s="180"/>
      <c r="CL274" s="180"/>
      <c r="CM274" s="180"/>
      <c r="CN274" s="180"/>
      <c r="CO274" s="180"/>
      <c r="CP274" s="180"/>
      <c r="CQ274" s="180"/>
      <c r="CR274" s="180"/>
      <c r="CS274" s="180"/>
      <c r="CT274" s="180"/>
      <c r="CU274" s="180"/>
      <c r="CV274" s="173"/>
      <c r="CW274" s="173"/>
      <c r="CX274" s="173"/>
      <c r="CY274" s="173"/>
      <c r="CZ274" s="173"/>
      <c r="DA274" s="198"/>
      <c r="DC274" s="197"/>
      <c r="DD274" s="180"/>
      <c r="DE274" s="180"/>
      <c r="DF274" s="180"/>
      <c r="DG274" s="180"/>
      <c r="DH274" s="180"/>
      <c r="DI274" s="180"/>
      <c r="DJ274" s="180"/>
      <c r="DK274" s="180"/>
      <c r="DL274" s="180"/>
      <c r="DM274" s="180"/>
      <c r="DN274" s="180"/>
      <c r="DO274" s="180"/>
      <c r="DP274" s="180"/>
      <c r="DQ274" s="173"/>
      <c r="DR274" s="173"/>
      <c r="DS274" s="173"/>
      <c r="DT274" s="173"/>
      <c r="DU274" s="173"/>
      <c r="DV274" s="198"/>
    </row>
    <row r="275" spans="1:126" x14ac:dyDescent="0.2">
      <c r="A275" s="143" t="s">
        <v>638</v>
      </c>
      <c r="AJ275" s="133"/>
      <c r="AK275" s="133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33"/>
      <c r="CG275" s="179"/>
      <c r="CH275" s="197"/>
      <c r="CI275" s="180"/>
      <c r="CJ275" s="180"/>
      <c r="CK275" s="180"/>
      <c r="CL275" s="180"/>
      <c r="CM275" s="180"/>
      <c r="CN275" s="180"/>
      <c r="CO275" s="180"/>
      <c r="CP275" s="180"/>
      <c r="CQ275" s="180"/>
      <c r="CR275" s="180"/>
      <c r="CS275" s="180"/>
      <c r="CT275" s="180"/>
      <c r="CU275" s="180"/>
      <c r="CV275" s="173"/>
      <c r="CW275" s="173"/>
      <c r="CX275" s="173"/>
      <c r="CY275" s="173"/>
      <c r="CZ275" s="173"/>
      <c r="DA275" s="198"/>
      <c r="DC275" s="197"/>
      <c r="DD275" s="180"/>
      <c r="DE275" s="180"/>
      <c r="DF275" s="180"/>
      <c r="DG275" s="180"/>
      <c r="DH275" s="180"/>
      <c r="DI275" s="180"/>
      <c r="DJ275" s="180"/>
      <c r="DK275" s="180"/>
      <c r="DL275" s="180"/>
      <c r="DM275" s="180"/>
      <c r="DN275" s="180"/>
      <c r="DO275" s="180"/>
      <c r="DP275" s="180"/>
      <c r="DQ275" s="173"/>
      <c r="DR275" s="173"/>
      <c r="DS275" s="173"/>
      <c r="DT275" s="173"/>
      <c r="DU275" s="173"/>
      <c r="DV275" s="198"/>
    </row>
    <row r="276" spans="1:126" x14ac:dyDescent="0.2">
      <c r="A276" s="143" t="s">
        <v>639</v>
      </c>
      <c r="AJ276" s="133"/>
      <c r="AK276" s="133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33"/>
      <c r="CG276" s="179"/>
      <c r="CH276" s="197"/>
      <c r="CI276" s="180"/>
      <c r="CJ276" s="180"/>
      <c r="CK276" s="180"/>
      <c r="CL276" s="180"/>
      <c r="CM276" s="180"/>
      <c r="CN276" s="180"/>
      <c r="CO276" s="180"/>
      <c r="CP276" s="180"/>
      <c r="CQ276" s="180"/>
      <c r="CR276" s="180"/>
      <c r="CS276" s="180"/>
      <c r="CT276" s="180"/>
      <c r="CU276" s="180"/>
      <c r="CV276" s="173"/>
      <c r="CW276" s="173"/>
      <c r="CX276" s="173"/>
      <c r="CY276" s="173"/>
      <c r="CZ276" s="173"/>
      <c r="DA276" s="198"/>
      <c r="DC276" s="197"/>
      <c r="DD276" s="180"/>
      <c r="DE276" s="180"/>
      <c r="DF276" s="180"/>
      <c r="DG276" s="180"/>
      <c r="DH276" s="180"/>
      <c r="DI276" s="180"/>
      <c r="DJ276" s="180"/>
      <c r="DK276" s="180"/>
      <c r="DL276" s="180"/>
      <c r="DM276" s="180"/>
      <c r="DN276" s="180"/>
      <c r="DO276" s="180"/>
      <c r="DP276" s="180"/>
      <c r="DQ276" s="173"/>
      <c r="DR276" s="173"/>
      <c r="DS276" s="173"/>
      <c r="DT276" s="173"/>
      <c r="DU276" s="173"/>
      <c r="DV276" s="198"/>
    </row>
    <row r="277" spans="1:126" x14ac:dyDescent="0.2">
      <c r="A277" s="144" t="s">
        <v>640</v>
      </c>
      <c r="AJ277" s="133"/>
      <c r="AK277" s="133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33"/>
      <c r="CG277" s="179"/>
      <c r="CH277" s="197"/>
      <c r="CI277" s="180"/>
      <c r="CJ277" s="180"/>
      <c r="CK277" s="180"/>
      <c r="CL277" s="180"/>
      <c r="CM277" s="180"/>
      <c r="CN277" s="180"/>
      <c r="CO277" s="180"/>
      <c r="CP277" s="180"/>
      <c r="CQ277" s="180"/>
      <c r="CR277" s="180"/>
      <c r="CS277" s="180"/>
      <c r="CT277" s="180"/>
      <c r="CU277" s="180"/>
      <c r="CV277" s="173"/>
      <c r="CW277" s="173"/>
      <c r="CX277" s="173"/>
      <c r="CY277" s="173"/>
      <c r="CZ277" s="173"/>
      <c r="DA277" s="198"/>
      <c r="DC277" s="197"/>
      <c r="DD277" s="180"/>
      <c r="DE277" s="180"/>
      <c r="DF277" s="180"/>
      <c r="DG277" s="180"/>
      <c r="DH277" s="180"/>
      <c r="DI277" s="180"/>
      <c r="DJ277" s="180"/>
      <c r="DK277" s="180"/>
      <c r="DL277" s="180"/>
      <c r="DM277" s="180"/>
      <c r="DN277" s="180"/>
      <c r="DO277" s="180"/>
      <c r="DP277" s="180"/>
      <c r="DQ277" s="173"/>
      <c r="DR277" s="173"/>
      <c r="DS277" s="173"/>
      <c r="DT277" s="173"/>
      <c r="DU277" s="173"/>
      <c r="DV277" s="198"/>
    </row>
    <row r="278" spans="1:126" x14ac:dyDescent="0.2">
      <c r="A278" s="142" t="s">
        <v>641</v>
      </c>
      <c r="AJ278" s="133"/>
      <c r="AK278" s="133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33"/>
      <c r="CG278" s="176"/>
      <c r="CH278" s="197"/>
      <c r="CI278" s="180"/>
      <c r="CJ278" s="180"/>
      <c r="CK278" s="180"/>
      <c r="CL278" s="180"/>
      <c r="CM278" s="180"/>
      <c r="CN278" s="180"/>
      <c r="CO278" s="180"/>
      <c r="CP278" s="180"/>
      <c r="CQ278" s="180"/>
      <c r="CR278" s="180"/>
      <c r="CS278" s="180"/>
      <c r="CT278" s="180"/>
      <c r="CU278" s="180"/>
      <c r="CV278" s="173"/>
      <c r="CW278" s="173"/>
      <c r="CX278" s="173"/>
      <c r="CY278" s="173"/>
      <c r="CZ278" s="173"/>
      <c r="DA278" s="198"/>
      <c r="DC278" s="197"/>
      <c r="DD278" s="180"/>
      <c r="DE278" s="180"/>
      <c r="DF278" s="180"/>
      <c r="DG278" s="180"/>
      <c r="DH278" s="180"/>
      <c r="DI278" s="180"/>
      <c r="DJ278" s="180"/>
      <c r="DK278" s="180"/>
      <c r="DL278" s="180"/>
      <c r="DM278" s="180"/>
      <c r="DN278" s="180"/>
      <c r="DO278" s="180"/>
      <c r="DP278" s="180"/>
      <c r="DQ278" s="173"/>
      <c r="DR278" s="173"/>
      <c r="DS278" s="173"/>
      <c r="DT278" s="173"/>
      <c r="DU278" s="173"/>
      <c r="DV278" s="198"/>
    </row>
    <row r="279" spans="1:126" x14ac:dyDescent="0.2">
      <c r="A279" s="143" t="s">
        <v>642</v>
      </c>
      <c r="AJ279" s="133"/>
      <c r="AK279" s="133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33"/>
      <c r="CG279" s="176"/>
      <c r="CH279" s="197"/>
      <c r="CI279" s="180"/>
      <c r="CJ279" s="180"/>
      <c r="CK279" s="180"/>
      <c r="CL279" s="180"/>
      <c r="CM279" s="180"/>
      <c r="CN279" s="180"/>
      <c r="CO279" s="180"/>
      <c r="CP279" s="180"/>
      <c r="CQ279" s="180"/>
      <c r="CR279" s="180"/>
      <c r="CS279" s="180"/>
      <c r="CT279" s="180"/>
      <c r="CU279" s="180"/>
      <c r="CV279" s="173"/>
      <c r="CW279" s="173"/>
      <c r="CX279" s="173"/>
      <c r="CY279" s="173"/>
      <c r="CZ279" s="173"/>
      <c r="DA279" s="198"/>
      <c r="DC279" s="197"/>
      <c r="DD279" s="180"/>
      <c r="DE279" s="180"/>
      <c r="DF279" s="180"/>
      <c r="DG279" s="180"/>
      <c r="DH279" s="180"/>
      <c r="DI279" s="180"/>
      <c r="DJ279" s="180"/>
      <c r="DK279" s="180"/>
      <c r="DL279" s="180"/>
      <c r="DM279" s="180"/>
      <c r="DN279" s="180"/>
      <c r="DO279" s="180"/>
      <c r="DP279" s="180"/>
      <c r="DQ279" s="173"/>
      <c r="DR279" s="173"/>
      <c r="DS279" s="173"/>
      <c r="DT279" s="173"/>
      <c r="DU279" s="173"/>
      <c r="DV279" s="198"/>
    </row>
    <row r="280" spans="1:126" x14ac:dyDescent="0.2">
      <c r="A280" s="143" t="s">
        <v>643</v>
      </c>
      <c r="AJ280" s="133"/>
      <c r="AK280" s="133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33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33"/>
      <c r="CG280" s="176"/>
      <c r="CH280" s="199"/>
      <c r="CI280" s="200"/>
      <c r="CJ280" s="200"/>
      <c r="CK280" s="200"/>
      <c r="CL280" s="200"/>
      <c r="CM280" s="200"/>
      <c r="CN280" s="200"/>
      <c r="CO280" s="200"/>
      <c r="CP280" s="200"/>
      <c r="CQ280" s="201"/>
      <c r="CR280" s="202"/>
      <c r="CS280" s="200"/>
      <c r="CT280" s="200"/>
      <c r="CU280" s="200"/>
      <c r="CV280" s="203"/>
      <c r="CW280" s="203"/>
      <c r="CX280" s="203"/>
      <c r="CY280" s="203"/>
      <c r="CZ280" s="203"/>
      <c r="DA280" s="204"/>
      <c r="DC280" s="199"/>
      <c r="DD280" s="200"/>
      <c r="DE280" s="200"/>
      <c r="DF280" s="200"/>
      <c r="DG280" s="200"/>
      <c r="DH280" s="200"/>
      <c r="DI280" s="200"/>
      <c r="DJ280" s="200"/>
      <c r="DK280" s="200"/>
      <c r="DL280" s="200"/>
      <c r="DM280" s="200"/>
      <c r="DN280" s="200"/>
      <c r="DO280" s="200"/>
      <c r="DP280" s="200"/>
      <c r="DQ280" s="203"/>
      <c r="DR280" s="203"/>
      <c r="DS280" s="203"/>
      <c r="DT280" s="203"/>
      <c r="DU280" s="203"/>
      <c r="DV280" s="204"/>
    </row>
    <row r="281" spans="1:126" x14ac:dyDescent="0.2">
      <c r="A281" s="143" t="s">
        <v>644</v>
      </c>
      <c r="AJ281" s="133"/>
      <c r="AK281" s="133"/>
      <c r="AL281" s="183"/>
      <c r="AM281" s="183"/>
      <c r="AN281" s="183"/>
      <c r="AO281" s="183"/>
      <c r="AP281" s="183"/>
      <c r="AQ281" s="183"/>
      <c r="AR281" s="183"/>
      <c r="AS281" s="183"/>
      <c r="AT281" s="183"/>
      <c r="AU281" s="183"/>
      <c r="AV281" s="183"/>
      <c r="AW281" s="183"/>
      <c r="AX281" s="183"/>
      <c r="AY281" s="183"/>
      <c r="AZ281" s="183"/>
      <c r="BA281" s="183"/>
      <c r="BB281" s="183"/>
      <c r="BC281" s="183"/>
      <c r="BD281" s="183"/>
      <c r="BE281" s="183"/>
      <c r="BF281" s="133"/>
      <c r="CG281" s="176">
        <v>15</v>
      </c>
      <c r="CH281" s="192"/>
      <c r="CI281" s="193"/>
      <c r="CJ281" s="193"/>
      <c r="CK281" s="193"/>
      <c r="CL281" s="193"/>
      <c r="CM281" s="193"/>
      <c r="CN281" s="193"/>
      <c r="CO281" s="193"/>
      <c r="CP281" s="193"/>
      <c r="CQ281" s="193"/>
      <c r="CR281" s="193"/>
      <c r="CS281" s="193"/>
      <c r="CT281" s="193"/>
      <c r="CU281" s="193"/>
      <c r="CV281" s="194"/>
      <c r="CW281" s="194"/>
      <c r="CX281" s="194"/>
      <c r="CY281" s="194"/>
      <c r="CZ281" s="194"/>
      <c r="DA281" s="195"/>
      <c r="DC281" s="192"/>
      <c r="DD281" s="193"/>
      <c r="DE281" s="193"/>
      <c r="DF281" s="193"/>
      <c r="DG281" s="193"/>
      <c r="DH281" s="193"/>
      <c r="DI281" s="193"/>
      <c r="DJ281" s="193"/>
      <c r="DK281" s="193"/>
      <c r="DL281" s="193"/>
      <c r="DM281" s="193"/>
      <c r="DN281" s="193"/>
      <c r="DO281" s="193"/>
      <c r="DP281" s="193"/>
      <c r="DQ281" s="194"/>
      <c r="DR281" s="194"/>
      <c r="DS281" s="194"/>
      <c r="DT281" s="194"/>
      <c r="DU281" s="194"/>
      <c r="DV281" s="195"/>
    </row>
    <row r="282" spans="1:126" x14ac:dyDescent="0.2">
      <c r="A282" s="143" t="s">
        <v>645</v>
      </c>
      <c r="AJ282" s="133"/>
      <c r="AK282" s="133"/>
      <c r="AL282" s="183"/>
      <c r="AM282" s="183"/>
      <c r="AN282" s="183"/>
      <c r="AO282" s="183"/>
      <c r="AP282" s="183"/>
      <c r="AQ282" s="183"/>
      <c r="AR282" s="183"/>
      <c r="AS282" s="183"/>
      <c r="AT282" s="183"/>
      <c r="AU282" s="183"/>
      <c r="AV282" s="183"/>
      <c r="AW282" s="183"/>
      <c r="AX282" s="183"/>
      <c r="AY282" s="183"/>
      <c r="AZ282" s="183"/>
      <c r="BA282" s="183"/>
      <c r="BB282" s="183"/>
      <c r="BC282" s="183"/>
      <c r="BD282" s="183"/>
      <c r="BE282" s="183"/>
      <c r="BF282" s="133"/>
      <c r="CG282" s="176"/>
      <c r="CH282" s="169"/>
      <c r="CI282" s="177"/>
      <c r="CJ282" s="177"/>
      <c r="CK282" s="177"/>
      <c r="CL282" s="177"/>
      <c r="CM282" s="177"/>
      <c r="CN282" s="177"/>
      <c r="CO282" s="177"/>
      <c r="CP282" s="177"/>
      <c r="CQ282" s="177"/>
      <c r="CR282" s="177"/>
      <c r="CS282" s="177"/>
      <c r="CT282" s="177"/>
      <c r="CU282" s="177"/>
      <c r="CV282" s="172"/>
      <c r="CW282" s="172"/>
      <c r="CX282" s="172"/>
      <c r="CY282" s="172"/>
      <c r="CZ282" s="172"/>
      <c r="DA282" s="196"/>
      <c r="DC282" s="169"/>
      <c r="DD282" s="177"/>
      <c r="DE282" s="177"/>
      <c r="DF282" s="177"/>
      <c r="DG282" s="177"/>
      <c r="DH282" s="177"/>
      <c r="DI282" s="177"/>
      <c r="DJ282" s="177"/>
      <c r="DK282" s="177"/>
      <c r="DL282" s="177"/>
      <c r="DM282" s="177"/>
      <c r="DN282" s="177"/>
      <c r="DO282" s="177"/>
      <c r="DP282" s="177"/>
      <c r="DQ282" s="172"/>
      <c r="DR282" s="172"/>
      <c r="DS282" s="172"/>
      <c r="DT282" s="172"/>
      <c r="DU282" s="172"/>
      <c r="DV282" s="196"/>
    </row>
    <row r="283" spans="1:126" x14ac:dyDescent="0.2">
      <c r="A283" s="143" t="s">
        <v>646</v>
      </c>
      <c r="AJ283" s="133"/>
      <c r="AK283" s="133"/>
      <c r="AL283" s="183"/>
      <c r="AM283" s="183"/>
      <c r="AN283" s="183"/>
      <c r="AO283" s="183"/>
      <c r="AP283" s="183"/>
      <c r="AQ283" s="183"/>
      <c r="AR283" s="183"/>
      <c r="AS283" s="183"/>
      <c r="AT283" s="183"/>
      <c r="AU283" s="183"/>
      <c r="AV283" s="183"/>
      <c r="AW283" s="183"/>
      <c r="AX283" s="183"/>
      <c r="AY283" s="183"/>
      <c r="AZ283" s="183"/>
      <c r="BA283" s="183"/>
      <c r="BB283" s="183"/>
      <c r="BC283" s="183"/>
      <c r="BD283" s="183"/>
      <c r="BE283" s="183"/>
      <c r="BF283" s="133"/>
      <c r="CG283" s="131"/>
      <c r="CH283" s="169"/>
      <c r="CI283" s="177"/>
      <c r="CJ283" s="177"/>
      <c r="CK283" s="177"/>
      <c r="CL283" s="177"/>
      <c r="CM283" s="177"/>
      <c r="CN283" s="177"/>
      <c r="CO283" s="177"/>
      <c r="CP283" s="177"/>
      <c r="CQ283" s="177"/>
      <c r="CR283" s="177"/>
      <c r="CS283" s="177"/>
      <c r="CT283" s="177"/>
      <c r="CU283" s="177"/>
      <c r="CV283" s="172"/>
      <c r="CW283" s="172"/>
      <c r="CX283" s="172"/>
      <c r="CY283" s="172"/>
      <c r="CZ283" s="172"/>
      <c r="DA283" s="196"/>
      <c r="DC283" s="169"/>
      <c r="DD283" s="177"/>
      <c r="DE283" s="177"/>
      <c r="DF283" s="177"/>
      <c r="DG283" s="177"/>
      <c r="DH283" s="177"/>
      <c r="DI283" s="177"/>
      <c r="DJ283" s="177"/>
      <c r="DK283" s="177"/>
      <c r="DL283" s="177"/>
      <c r="DM283" s="177"/>
      <c r="DN283" s="177"/>
      <c r="DO283" s="177"/>
      <c r="DP283" s="177"/>
      <c r="DQ283" s="172"/>
      <c r="DR283" s="172"/>
      <c r="DS283" s="172"/>
      <c r="DT283" s="172"/>
      <c r="DU283" s="172"/>
      <c r="DV283" s="196"/>
    </row>
    <row r="284" spans="1:126" x14ac:dyDescent="0.2">
      <c r="A284" s="143" t="s">
        <v>647</v>
      </c>
      <c r="AJ284" s="133"/>
      <c r="AK284" s="133"/>
      <c r="AL284" s="183"/>
      <c r="AM284" s="183"/>
      <c r="AN284" s="183"/>
      <c r="AO284" s="183"/>
      <c r="AP284" s="183"/>
      <c r="AQ284" s="183"/>
      <c r="AR284" s="183"/>
      <c r="AS284" s="183"/>
      <c r="AT284" s="183"/>
      <c r="AU284" s="183"/>
      <c r="AV284" s="183"/>
      <c r="AW284" s="183"/>
      <c r="AX284" s="183"/>
      <c r="AY284" s="183"/>
      <c r="AZ284" s="183"/>
      <c r="BA284" s="183"/>
      <c r="BB284" s="183"/>
      <c r="BC284" s="183"/>
      <c r="BD284" s="183"/>
      <c r="BE284" s="183"/>
      <c r="BF284" s="133"/>
      <c r="CG284" s="176"/>
      <c r="CH284" s="169"/>
      <c r="CI284" s="177"/>
      <c r="CJ284" s="177"/>
      <c r="CK284" s="177"/>
      <c r="CL284" s="177"/>
      <c r="CM284" s="177"/>
      <c r="CN284" s="177"/>
      <c r="CO284" s="177"/>
      <c r="CP284" s="177"/>
      <c r="CQ284" s="177"/>
      <c r="CR284" s="177"/>
      <c r="CS284" s="177"/>
      <c r="CT284" s="177"/>
      <c r="CU284" s="177"/>
      <c r="CV284" s="172"/>
      <c r="CW284" s="172"/>
      <c r="CX284" s="172"/>
      <c r="CY284" s="172"/>
      <c r="CZ284" s="172"/>
      <c r="DA284" s="196"/>
      <c r="DC284" s="169"/>
      <c r="DD284" s="177"/>
      <c r="DE284" s="177"/>
      <c r="DF284" s="177"/>
      <c r="DG284" s="177"/>
      <c r="DH284" s="177"/>
      <c r="DI284" s="177"/>
      <c r="DJ284" s="177"/>
      <c r="DK284" s="177"/>
      <c r="DL284" s="177"/>
      <c r="DM284" s="177"/>
      <c r="DN284" s="177"/>
      <c r="DO284" s="177"/>
      <c r="DP284" s="177"/>
      <c r="DQ284" s="172"/>
      <c r="DR284" s="172"/>
      <c r="DS284" s="172"/>
      <c r="DT284" s="172"/>
      <c r="DU284" s="172"/>
      <c r="DV284" s="196"/>
    </row>
    <row r="285" spans="1:126" x14ac:dyDescent="0.2">
      <c r="A285" s="143" t="s">
        <v>648</v>
      </c>
      <c r="AJ285" s="133"/>
      <c r="AK285" s="133"/>
      <c r="AL285" s="183"/>
      <c r="AM285" s="183"/>
      <c r="AN285" s="183"/>
      <c r="AO285" s="183"/>
      <c r="AP285" s="183"/>
      <c r="AQ285" s="183"/>
      <c r="AR285" s="183"/>
      <c r="AS285" s="183"/>
      <c r="AT285" s="183"/>
      <c r="AU285" s="183"/>
      <c r="AV285" s="183"/>
      <c r="AW285" s="183"/>
      <c r="AX285" s="183"/>
      <c r="AY285" s="183"/>
      <c r="AZ285" s="183"/>
      <c r="BA285" s="183"/>
      <c r="BB285" s="183"/>
      <c r="BC285" s="183"/>
      <c r="BD285" s="183"/>
      <c r="BE285" s="183"/>
      <c r="BF285" s="133"/>
      <c r="CG285" s="178"/>
      <c r="CH285" s="169"/>
      <c r="CI285" s="177"/>
      <c r="CJ285" s="177"/>
      <c r="CK285" s="177"/>
      <c r="CL285" s="177"/>
      <c r="CM285" s="177"/>
      <c r="CN285" s="177"/>
      <c r="CO285" s="177"/>
      <c r="CP285" s="177"/>
      <c r="CQ285" s="177"/>
      <c r="CR285" s="177"/>
      <c r="CS285" s="177"/>
      <c r="CT285" s="177"/>
      <c r="CU285" s="177"/>
      <c r="CV285" s="172"/>
      <c r="CW285" s="172"/>
      <c r="CX285" s="172"/>
      <c r="CY285" s="172"/>
      <c r="CZ285" s="172"/>
      <c r="DA285" s="196"/>
      <c r="DC285" s="169"/>
      <c r="DD285" s="177"/>
      <c r="DE285" s="177"/>
      <c r="DF285" s="177"/>
      <c r="DG285" s="177"/>
      <c r="DH285" s="177"/>
      <c r="DI285" s="177"/>
      <c r="DJ285" s="177"/>
      <c r="DK285" s="177"/>
      <c r="DL285" s="177"/>
      <c r="DM285" s="177"/>
      <c r="DN285" s="177"/>
      <c r="DO285" s="177"/>
      <c r="DP285" s="177"/>
      <c r="DQ285" s="172"/>
      <c r="DR285" s="172"/>
      <c r="DS285" s="172"/>
      <c r="DT285" s="172"/>
      <c r="DU285" s="172"/>
      <c r="DV285" s="196"/>
    </row>
    <row r="286" spans="1:126" x14ac:dyDescent="0.2">
      <c r="A286" s="143" t="s">
        <v>649</v>
      </c>
      <c r="AJ286" s="133"/>
      <c r="AK286" s="133"/>
      <c r="AL286" s="183"/>
      <c r="AM286" s="183"/>
      <c r="AN286" s="183"/>
      <c r="AO286" s="183"/>
      <c r="AP286" s="183"/>
      <c r="AQ286" s="183"/>
      <c r="AR286" s="183"/>
      <c r="AS286" s="183"/>
      <c r="AT286" s="183"/>
      <c r="AU286" s="183"/>
      <c r="AV286" s="183"/>
      <c r="AW286" s="183"/>
      <c r="AX286" s="183"/>
      <c r="AY286" s="183"/>
      <c r="AZ286" s="183"/>
      <c r="BA286" s="183"/>
      <c r="BB286" s="183"/>
      <c r="BC286" s="183"/>
      <c r="BD286" s="183"/>
      <c r="BE286" s="183"/>
      <c r="BF286" s="133"/>
      <c r="CG286" s="179"/>
      <c r="CH286" s="169"/>
      <c r="CI286" s="177"/>
      <c r="CJ286" s="177"/>
      <c r="CK286" s="177"/>
      <c r="CL286" s="177"/>
      <c r="CM286" s="177"/>
      <c r="CN286" s="177"/>
      <c r="CO286" s="177"/>
      <c r="CP286" s="177"/>
      <c r="CQ286" s="177"/>
      <c r="CR286" s="177"/>
      <c r="CS286" s="177"/>
      <c r="CT286" s="177"/>
      <c r="CU286" s="177"/>
      <c r="CV286" s="172"/>
      <c r="CW286" s="172"/>
      <c r="CX286" s="172"/>
      <c r="CY286" s="172"/>
      <c r="CZ286" s="172"/>
      <c r="DA286" s="196"/>
      <c r="DC286" s="169"/>
      <c r="DD286" s="177"/>
      <c r="DE286" s="177"/>
      <c r="DF286" s="177"/>
      <c r="DG286" s="177"/>
      <c r="DH286" s="177"/>
      <c r="DI286" s="177"/>
      <c r="DJ286" s="177"/>
      <c r="DK286" s="177"/>
      <c r="DL286" s="177"/>
      <c r="DM286" s="177"/>
      <c r="DN286" s="177"/>
      <c r="DO286" s="177"/>
      <c r="DP286" s="177"/>
      <c r="DQ286" s="172"/>
      <c r="DR286" s="172"/>
      <c r="DS286" s="172"/>
      <c r="DT286" s="172"/>
      <c r="DU286" s="172"/>
      <c r="DV286" s="196"/>
    </row>
    <row r="287" spans="1:126" x14ac:dyDescent="0.2">
      <c r="A287" s="143" t="s">
        <v>650</v>
      </c>
      <c r="AJ287" s="133"/>
      <c r="AK287" s="133"/>
      <c r="AL287" s="183"/>
      <c r="AM287" s="183"/>
      <c r="AN287" s="183"/>
      <c r="AO287" s="183"/>
      <c r="AP287" s="183"/>
      <c r="AQ287" s="183"/>
      <c r="AR287" s="183"/>
      <c r="AS287" s="183"/>
      <c r="AT287" s="183"/>
      <c r="AU287" s="183"/>
      <c r="AV287" s="183"/>
      <c r="AW287" s="183"/>
      <c r="AX287" s="183"/>
      <c r="AY287" s="183"/>
      <c r="AZ287" s="183"/>
      <c r="BA287" s="183"/>
      <c r="BB287" s="183"/>
      <c r="BC287" s="183"/>
      <c r="BD287" s="183"/>
      <c r="BE287" s="183"/>
      <c r="BF287" s="133"/>
      <c r="CG287" s="179"/>
      <c r="CH287" s="169"/>
      <c r="CI287" s="177"/>
      <c r="CJ287" s="177"/>
      <c r="CK287" s="177"/>
      <c r="CL287" s="177"/>
      <c r="CM287" s="177"/>
      <c r="CN287" s="177"/>
      <c r="CO287" s="177"/>
      <c r="CP287" s="177"/>
      <c r="CQ287" s="177"/>
      <c r="CR287" s="177"/>
      <c r="CS287" s="177"/>
      <c r="CT287" s="177"/>
      <c r="CU287" s="177"/>
      <c r="CV287" s="172"/>
      <c r="CW287" s="172"/>
      <c r="CX287" s="172"/>
      <c r="CY287" s="172"/>
      <c r="CZ287" s="172"/>
      <c r="DA287" s="196"/>
      <c r="DC287" s="169"/>
      <c r="DD287" s="177"/>
      <c r="DE287" s="177"/>
      <c r="DF287" s="177"/>
      <c r="DG287" s="177"/>
      <c r="DH287" s="177"/>
      <c r="DI287" s="177"/>
      <c r="DJ287" s="177"/>
      <c r="DK287" s="177"/>
      <c r="DL287" s="177"/>
      <c r="DM287" s="177"/>
      <c r="DN287" s="177"/>
      <c r="DO287" s="177"/>
      <c r="DP287" s="177"/>
      <c r="DQ287" s="172"/>
      <c r="DR287" s="172"/>
      <c r="DS287" s="172"/>
      <c r="DT287" s="172"/>
      <c r="DU287" s="172"/>
      <c r="DV287" s="196"/>
    </row>
    <row r="288" spans="1:126" x14ac:dyDescent="0.2">
      <c r="A288" s="143" t="s">
        <v>651</v>
      </c>
      <c r="AJ288" s="133"/>
      <c r="AK288" s="133"/>
      <c r="AL288" s="183"/>
      <c r="AM288" s="183"/>
      <c r="AN288" s="183"/>
      <c r="AO288" s="183"/>
      <c r="AP288" s="183"/>
      <c r="AQ288" s="183"/>
      <c r="AR288" s="183"/>
      <c r="AS288" s="183"/>
      <c r="AT288" s="183"/>
      <c r="AU288" s="183"/>
      <c r="AV288" s="183"/>
      <c r="AW288" s="183"/>
      <c r="AX288" s="183"/>
      <c r="AY288" s="183"/>
      <c r="AZ288" s="183"/>
      <c r="BA288" s="183"/>
      <c r="BB288" s="183"/>
      <c r="BC288" s="183"/>
      <c r="BD288" s="183"/>
      <c r="BE288" s="183"/>
      <c r="BF288" s="133"/>
      <c r="CG288" s="179"/>
      <c r="CH288" s="169"/>
      <c r="CI288" s="177"/>
      <c r="CJ288" s="177"/>
      <c r="CK288" s="177"/>
      <c r="CL288" s="177"/>
      <c r="CM288" s="177"/>
      <c r="CN288" s="177"/>
      <c r="CO288" s="177"/>
      <c r="CP288" s="177"/>
      <c r="CQ288" s="177"/>
      <c r="CR288" s="177"/>
      <c r="CS288" s="177"/>
      <c r="CT288" s="177"/>
      <c r="CU288" s="177"/>
      <c r="CV288" s="172"/>
      <c r="CW288" s="172"/>
      <c r="CX288" s="172"/>
      <c r="CY288" s="172"/>
      <c r="CZ288" s="172"/>
      <c r="DA288" s="196"/>
      <c r="DC288" s="169"/>
      <c r="DD288" s="177"/>
      <c r="DE288" s="177"/>
      <c r="DF288" s="177"/>
      <c r="DG288" s="177"/>
      <c r="DH288" s="177"/>
      <c r="DI288" s="177"/>
      <c r="DJ288" s="177"/>
      <c r="DK288" s="177"/>
      <c r="DL288" s="177"/>
      <c r="DM288" s="177"/>
      <c r="DN288" s="177"/>
      <c r="DO288" s="177"/>
      <c r="DP288" s="177"/>
      <c r="DQ288" s="172"/>
      <c r="DR288" s="172"/>
      <c r="DS288" s="172"/>
      <c r="DT288" s="172"/>
      <c r="DU288" s="172"/>
      <c r="DV288" s="196"/>
    </row>
    <row r="289" spans="1:126" x14ac:dyDescent="0.2">
      <c r="A289" s="143" t="s">
        <v>652</v>
      </c>
      <c r="AJ289" s="133"/>
      <c r="AK289" s="133"/>
      <c r="AL289" s="183"/>
      <c r="AM289" s="183"/>
      <c r="AN289" s="183"/>
      <c r="AO289" s="183"/>
      <c r="AP289" s="183"/>
      <c r="AQ289" s="183"/>
      <c r="AR289" s="183"/>
      <c r="AS289" s="183"/>
      <c r="AT289" s="183"/>
      <c r="AU289" s="183"/>
      <c r="AV289" s="183"/>
      <c r="AW289" s="183"/>
      <c r="AX289" s="183"/>
      <c r="AY289" s="183"/>
      <c r="AZ289" s="183"/>
      <c r="BA289" s="183"/>
      <c r="BB289" s="183"/>
      <c r="BC289" s="183"/>
      <c r="BD289" s="183"/>
      <c r="BE289" s="183"/>
      <c r="BF289" s="133"/>
      <c r="CG289" s="179"/>
      <c r="CH289" s="169"/>
      <c r="CI289" s="177"/>
      <c r="CJ289" s="177"/>
      <c r="CK289" s="177"/>
      <c r="CL289" s="177"/>
      <c r="CM289" s="177"/>
      <c r="CN289" s="177"/>
      <c r="CO289" s="177"/>
      <c r="CP289" s="177"/>
      <c r="CQ289" s="177"/>
      <c r="CR289" s="177"/>
      <c r="CS289" s="177"/>
      <c r="CT289" s="177"/>
      <c r="CU289" s="177"/>
      <c r="CV289" s="172"/>
      <c r="CW289" s="172"/>
      <c r="CX289" s="172"/>
      <c r="CY289" s="172"/>
      <c r="CZ289" s="172"/>
      <c r="DA289" s="196"/>
      <c r="DC289" s="169"/>
      <c r="DD289" s="177"/>
      <c r="DE289" s="177"/>
      <c r="DF289" s="177"/>
      <c r="DG289" s="177"/>
      <c r="DH289" s="177"/>
      <c r="DI289" s="177"/>
      <c r="DJ289" s="177"/>
      <c r="DK289" s="177"/>
      <c r="DL289" s="177"/>
      <c r="DM289" s="177"/>
      <c r="DN289" s="177"/>
      <c r="DO289" s="177"/>
      <c r="DP289" s="177"/>
      <c r="DQ289" s="172"/>
      <c r="DR289" s="172"/>
      <c r="DS289" s="172"/>
      <c r="DT289" s="172"/>
      <c r="DU289" s="172"/>
      <c r="DV289" s="196"/>
    </row>
    <row r="290" spans="1:126" x14ac:dyDescent="0.2">
      <c r="A290" s="143" t="s">
        <v>653</v>
      </c>
      <c r="AJ290" s="133"/>
      <c r="AK290" s="133"/>
      <c r="AL290" s="183"/>
      <c r="AM290" s="183"/>
      <c r="AN290" s="183"/>
      <c r="AO290" s="183"/>
      <c r="AP290" s="183"/>
      <c r="AQ290" s="183"/>
      <c r="AR290" s="183"/>
      <c r="AS290" s="183"/>
      <c r="AT290" s="183"/>
      <c r="AU290" s="183"/>
      <c r="AV290" s="183"/>
      <c r="AW290" s="183"/>
      <c r="AX290" s="183"/>
      <c r="AY290" s="183"/>
      <c r="AZ290" s="183"/>
      <c r="BA290" s="183"/>
      <c r="BB290" s="183"/>
      <c r="BC290" s="183"/>
      <c r="BD290" s="183"/>
      <c r="BE290" s="183"/>
      <c r="BF290" s="133"/>
      <c r="CG290" s="179"/>
      <c r="CH290" s="169"/>
      <c r="CI290" s="177"/>
      <c r="CJ290" s="177"/>
      <c r="CK290" s="177"/>
      <c r="CL290" s="177"/>
      <c r="CM290" s="177"/>
      <c r="CN290" s="177"/>
      <c r="CO290" s="177"/>
      <c r="CP290" s="177"/>
      <c r="CQ290" s="177"/>
      <c r="CR290" s="177"/>
      <c r="CS290" s="177"/>
      <c r="CT290" s="177"/>
      <c r="CU290" s="177"/>
      <c r="CV290" s="172"/>
      <c r="CW290" s="172"/>
      <c r="CX290" s="172"/>
      <c r="CY290" s="172"/>
      <c r="CZ290" s="172"/>
      <c r="DA290" s="196"/>
      <c r="DC290" s="169"/>
      <c r="DD290" s="177"/>
      <c r="DE290" s="177"/>
      <c r="DF290" s="177"/>
      <c r="DG290" s="177"/>
      <c r="DH290" s="177"/>
      <c r="DI290" s="177"/>
      <c r="DJ290" s="177"/>
      <c r="DK290" s="177"/>
      <c r="DL290" s="177"/>
      <c r="DM290" s="177"/>
      <c r="DN290" s="177"/>
      <c r="DO290" s="177"/>
      <c r="DP290" s="177"/>
      <c r="DQ290" s="172"/>
      <c r="DR290" s="172"/>
      <c r="DS290" s="172"/>
      <c r="DT290" s="172"/>
      <c r="DU290" s="172"/>
      <c r="DV290" s="196"/>
    </row>
    <row r="291" spans="1:126" x14ac:dyDescent="0.2">
      <c r="A291" s="143" t="s">
        <v>654</v>
      </c>
      <c r="AJ291" s="133"/>
      <c r="AK291" s="133"/>
      <c r="AL291" s="183"/>
      <c r="AM291" s="183"/>
      <c r="AN291" s="183"/>
      <c r="AO291" s="183"/>
      <c r="AP291" s="183"/>
      <c r="AQ291" s="183"/>
      <c r="AR291" s="183"/>
      <c r="AS291" s="183"/>
      <c r="AT291" s="183"/>
      <c r="AU291" s="183"/>
      <c r="AV291" s="183"/>
      <c r="AW291" s="183"/>
      <c r="AX291" s="183"/>
      <c r="AY291" s="183"/>
      <c r="AZ291" s="183"/>
      <c r="BA291" s="183"/>
      <c r="BB291" s="183"/>
      <c r="BC291" s="183"/>
      <c r="BD291" s="183"/>
      <c r="BE291" s="183"/>
      <c r="BF291" s="133"/>
      <c r="CG291" s="179"/>
      <c r="CH291" s="169"/>
      <c r="CI291" s="177"/>
      <c r="CJ291" s="177"/>
      <c r="CK291" s="177"/>
      <c r="CL291" s="177"/>
      <c r="CM291" s="177"/>
      <c r="CN291" s="177"/>
      <c r="CO291" s="177"/>
      <c r="CP291" s="177"/>
      <c r="CQ291" s="177"/>
      <c r="CR291" s="177"/>
      <c r="CS291" s="177"/>
      <c r="CT291" s="177"/>
      <c r="CU291" s="177"/>
      <c r="CV291" s="172"/>
      <c r="CW291" s="172"/>
      <c r="CX291" s="172"/>
      <c r="CY291" s="172"/>
      <c r="CZ291" s="172"/>
      <c r="DA291" s="196"/>
      <c r="DC291" s="169"/>
      <c r="DD291" s="177"/>
      <c r="DE291" s="177"/>
      <c r="DF291" s="177"/>
      <c r="DG291" s="177"/>
      <c r="DH291" s="177"/>
      <c r="DI291" s="177"/>
      <c r="DJ291" s="177"/>
      <c r="DK291" s="177"/>
      <c r="DL291" s="177"/>
      <c r="DM291" s="177"/>
      <c r="DN291" s="177"/>
      <c r="DO291" s="177"/>
      <c r="DP291" s="177"/>
      <c r="DQ291" s="172"/>
      <c r="DR291" s="172"/>
      <c r="DS291" s="172"/>
      <c r="DT291" s="172"/>
      <c r="DU291" s="172"/>
      <c r="DV291" s="196"/>
    </row>
    <row r="292" spans="1:126" x14ac:dyDescent="0.2">
      <c r="A292" s="143" t="s">
        <v>655</v>
      </c>
      <c r="AJ292" s="133"/>
      <c r="AK292" s="133"/>
      <c r="AL292" s="183"/>
      <c r="AM292" s="183"/>
      <c r="AN292" s="183"/>
      <c r="AO292" s="183"/>
      <c r="AP292" s="183"/>
      <c r="AQ292" s="183"/>
      <c r="AR292" s="183"/>
      <c r="AS292" s="183"/>
      <c r="AT292" s="183"/>
      <c r="AU292" s="183"/>
      <c r="AV292" s="183"/>
      <c r="AW292" s="183"/>
      <c r="AX292" s="183"/>
      <c r="AY292" s="183"/>
      <c r="AZ292" s="183"/>
      <c r="BA292" s="183"/>
      <c r="BB292" s="183"/>
      <c r="BC292" s="183"/>
      <c r="BD292" s="183"/>
      <c r="BE292" s="183"/>
      <c r="BF292" s="133"/>
      <c r="CG292" s="179"/>
      <c r="CH292" s="169"/>
      <c r="CI292" s="177"/>
      <c r="CJ292" s="177"/>
      <c r="CK292" s="177"/>
      <c r="CL292" s="177"/>
      <c r="CM292" s="177"/>
      <c r="CN292" s="177"/>
      <c r="CO292" s="177"/>
      <c r="CP292" s="177"/>
      <c r="CQ292" s="177"/>
      <c r="CR292" s="177"/>
      <c r="CS292" s="177"/>
      <c r="CT292" s="177"/>
      <c r="CU292" s="177"/>
      <c r="CV292" s="172"/>
      <c r="CW292" s="172"/>
      <c r="CX292" s="172"/>
      <c r="CY292" s="172"/>
      <c r="CZ292" s="172"/>
      <c r="DA292" s="196"/>
      <c r="DC292" s="169"/>
      <c r="DD292" s="177"/>
      <c r="DE292" s="177"/>
      <c r="DF292" s="177"/>
      <c r="DG292" s="177"/>
      <c r="DH292" s="177"/>
      <c r="DI292" s="177"/>
      <c r="DJ292" s="177"/>
      <c r="DK292" s="177"/>
      <c r="DL292" s="177"/>
      <c r="DM292" s="177"/>
      <c r="DN292" s="177"/>
      <c r="DO292" s="177"/>
      <c r="DP292" s="177"/>
      <c r="DQ292" s="172"/>
      <c r="DR292" s="172"/>
      <c r="DS292" s="172"/>
      <c r="DT292" s="172"/>
      <c r="DU292" s="172"/>
      <c r="DV292" s="196"/>
    </row>
    <row r="293" spans="1:126" x14ac:dyDescent="0.2">
      <c r="A293" s="143" t="s">
        <v>656</v>
      </c>
      <c r="AJ293" s="133"/>
      <c r="AK293" s="133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33"/>
      <c r="CG293" s="179"/>
      <c r="CH293" s="197"/>
      <c r="CI293" s="180"/>
      <c r="CJ293" s="180"/>
      <c r="CK293" s="180"/>
      <c r="CL293" s="180"/>
      <c r="CM293" s="180"/>
      <c r="CN293" s="180"/>
      <c r="CO293" s="180"/>
      <c r="CP293" s="180"/>
      <c r="CQ293" s="180"/>
      <c r="CR293" s="180"/>
      <c r="CS293" s="180"/>
      <c r="CT293" s="180"/>
      <c r="CU293" s="180"/>
      <c r="CV293" s="173"/>
      <c r="CW293" s="173"/>
      <c r="CX293" s="173"/>
      <c r="CY293" s="173"/>
      <c r="CZ293" s="173"/>
      <c r="DA293" s="198"/>
      <c r="DC293" s="197"/>
      <c r="DD293" s="180"/>
      <c r="DE293" s="180"/>
      <c r="DF293" s="180"/>
      <c r="DG293" s="180"/>
      <c r="DH293" s="180"/>
      <c r="DI293" s="180"/>
      <c r="DJ293" s="180"/>
      <c r="DK293" s="180"/>
      <c r="DL293" s="180"/>
      <c r="DM293" s="180"/>
      <c r="DN293" s="180"/>
      <c r="DO293" s="180"/>
      <c r="DP293" s="180"/>
      <c r="DQ293" s="173"/>
      <c r="DR293" s="173"/>
      <c r="DS293" s="173"/>
      <c r="DT293" s="173"/>
      <c r="DU293" s="173"/>
      <c r="DV293" s="198"/>
    </row>
    <row r="294" spans="1:126" x14ac:dyDescent="0.2">
      <c r="A294" s="143" t="s">
        <v>657</v>
      </c>
      <c r="AJ294" s="133"/>
      <c r="AK294" s="133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33"/>
      <c r="CG294" s="179"/>
      <c r="CH294" s="197"/>
      <c r="CI294" s="180"/>
      <c r="CJ294" s="180"/>
      <c r="CK294" s="180"/>
      <c r="CL294" s="180"/>
      <c r="CM294" s="180"/>
      <c r="CN294" s="180"/>
      <c r="CO294" s="180"/>
      <c r="CP294" s="180"/>
      <c r="CQ294" s="180"/>
      <c r="CR294" s="180"/>
      <c r="CS294" s="180"/>
      <c r="CT294" s="180"/>
      <c r="CU294" s="180"/>
      <c r="CV294" s="173"/>
      <c r="CW294" s="173"/>
      <c r="CX294" s="173"/>
      <c r="CY294" s="173"/>
      <c r="CZ294" s="173"/>
      <c r="DA294" s="198"/>
      <c r="DC294" s="197"/>
      <c r="DD294" s="180"/>
      <c r="DE294" s="180"/>
      <c r="DF294" s="180"/>
      <c r="DG294" s="180"/>
      <c r="DH294" s="180"/>
      <c r="DI294" s="180"/>
      <c r="DJ294" s="180"/>
      <c r="DK294" s="180"/>
      <c r="DL294" s="180"/>
      <c r="DM294" s="180"/>
      <c r="DN294" s="180"/>
      <c r="DO294" s="180"/>
      <c r="DP294" s="180"/>
      <c r="DQ294" s="173"/>
      <c r="DR294" s="173"/>
      <c r="DS294" s="173"/>
      <c r="DT294" s="173"/>
      <c r="DU294" s="173"/>
      <c r="DV294" s="198"/>
    </row>
    <row r="295" spans="1:126" x14ac:dyDescent="0.2">
      <c r="A295" s="143" t="s">
        <v>658</v>
      </c>
      <c r="AJ295" s="133"/>
      <c r="AK295" s="133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33"/>
      <c r="CG295" s="179"/>
      <c r="CH295" s="197"/>
      <c r="CI295" s="180"/>
      <c r="CJ295" s="180"/>
      <c r="CK295" s="180"/>
      <c r="CL295" s="180"/>
      <c r="CM295" s="180"/>
      <c r="CN295" s="180"/>
      <c r="CO295" s="180"/>
      <c r="CP295" s="180"/>
      <c r="CQ295" s="180"/>
      <c r="CR295" s="180"/>
      <c r="CS295" s="180"/>
      <c r="CT295" s="180"/>
      <c r="CU295" s="180"/>
      <c r="CV295" s="173"/>
      <c r="CW295" s="173"/>
      <c r="CX295" s="173"/>
      <c r="CY295" s="173"/>
      <c r="CZ295" s="173"/>
      <c r="DA295" s="198"/>
      <c r="DC295" s="197"/>
      <c r="DD295" s="180"/>
      <c r="DE295" s="180"/>
      <c r="DF295" s="180"/>
      <c r="DG295" s="180"/>
      <c r="DH295" s="180"/>
      <c r="DI295" s="180"/>
      <c r="DJ295" s="180"/>
      <c r="DK295" s="180"/>
      <c r="DL295" s="180"/>
      <c r="DM295" s="180"/>
      <c r="DN295" s="180"/>
      <c r="DO295" s="180"/>
      <c r="DP295" s="180"/>
      <c r="DQ295" s="173"/>
      <c r="DR295" s="173"/>
      <c r="DS295" s="173"/>
      <c r="DT295" s="173"/>
      <c r="DU295" s="173"/>
      <c r="DV295" s="198"/>
    </row>
    <row r="296" spans="1:126" x14ac:dyDescent="0.2">
      <c r="A296" s="143" t="s">
        <v>659</v>
      </c>
      <c r="AJ296" s="133"/>
      <c r="AK296" s="133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33"/>
      <c r="CG296" s="179"/>
      <c r="CH296" s="197"/>
      <c r="CI296" s="180"/>
      <c r="CJ296" s="180"/>
      <c r="CK296" s="180"/>
      <c r="CL296" s="180"/>
      <c r="CM296" s="180"/>
      <c r="CN296" s="180"/>
      <c r="CO296" s="180"/>
      <c r="CP296" s="180"/>
      <c r="CQ296" s="180"/>
      <c r="CR296" s="180"/>
      <c r="CS296" s="180"/>
      <c r="CT296" s="180"/>
      <c r="CU296" s="180"/>
      <c r="CV296" s="173"/>
      <c r="CW296" s="173"/>
      <c r="CX296" s="173"/>
      <c r="CY296" s="173"/>
      <c r="CZ296" s="173"/>
      <c r="DA296" s="198"/>
      <c r="DC296" s="197"/>
      <c r="DD296" s="180"/>
      <c r="DE296" s="180"/>
      <c r="DF296" s="180"/>
      <c r="DG296" s="180"/>
      <c r="DH296" s="180"/>
      <c r="DI296" s="180"/>
      <c r="DJ296" s="180"/>
      <c r="DK296" s="180"/>
      <c r="DL296" s="180"/>
      <c r="DM296" s="180"/>
      <c r="DN296" s="180"/>
      <c r="DO296" s="180"/>
      <c r="DP296" s="180"/>
      <c r="DQ296" s="173"/>
      <c r="DR296" s="173"/>
      <c r="DS296" s="173"/>
      <c r="DT296" s="173"/>
      <c r="DU296" s="173"/>
      <c r="DV296" s="198"/>
    </row>
    <row r="297" spans="1:126" x14ac:dyDescent="0.2">
      <c r="A297" s="144" t="s">
        <v>660</v>
      </c>
      <c r="AJ297" s="133"/>
      <c r="AK297" s="133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33"/>
      <c r="CG297" s="179"/>
      <c r="CH297" s="197"/>
      <c r="CI297" s="180"/>
      <c r="CJ297" s="180"/>
      <c r="CK297" s="180"/>
      <c r="CL297" s="180"/>
      <c r="CM297" s="180"/>
      <c r="CN297" s="180"/>
      <c r="CO297" s="180"/>
      <c r="CP297" s="180"/>
      <c r="CQ297" s="180"/>
      <c r="CR297" s="180"/>
      <c r="CS297" s="180"/>
      <c r="CT297" s="180"/>
      <c r="CU297" s="180"/>
      <c r="CV297" s="173"/>
      <c r="CW297" s="173"/>
      <c r="CX297" s="173"/>
      <c r="CY297" s="173"/>
      <c r="CZ297" s="173"/>
      <c r="DA297" s="198"/>
      <c r="DC297" s="197"/>
      <c r="DD297" s="180"/>
      <c r="DE297" s="180"/>
      <c r="DF297" s="180"/>
      <c r="DG297" s="180"/>
      <c r="DH297" s="180"/>
      <c r="DI297" s="180"/>
      <c r="DJ297" s="180"/>
      <c r="DK297" s="180"/>
      <c r="DL297" s="180"/>
      <c r="DM297" s="180"/>
      <c r="DN297" s="180"/>
      <c r="DO297" s="180"/>
      <c r="DP297" s="180"/>
      <c r="DQ297" s="173"/>
      <c r="DR297" s="173"/>
      <c r="DS297" s="173"/>
      <c r="DT297" s="173"/>
      <c r="DU297" s="173"/>
      <c r="DV297" s="198"/>
    </row>
    <row r="298" spans="1:126" x14ac:dyDescent="0.2">
      <c r="A298" s="142" t="s">
        <v>661</v>
      </c>
      <c r="AJ298" s="133"/>
      <c r="AK298" s="133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33"/>
      <c r="CG298" s="176"/>
      <c r="CH298" s="197"/>
      <c r="CI298" s="180"/>
      <c r="CJ298" s="180"/>
      <c r="CK298" s="180"/>
      <c r="CL298" s="180"/>
      <c r="CM298" s="180"/>
      <c r="CN298" s="180"/>
      <c r="CO298" s="180"/>
      <c r="CP298" s="180"/>
      <c r="CQ298" s="180"/>
      <c r="CR298" s="180"/>
      <c r="CS298" s="180"/>
      <c r="CT298" s="180"/>
      <c r="CU298" s="180"/>
      <c r="CV298" s="173"/>
      <c r="CW298" s="173"/>
      <c r="CX298" s="173"/>
      <c r="CY298" s="173"/>
      <c r="CZ298" s="173"/>
      <c r="DA298" s="198"/>
      <c r="DC298" s="197"/>
      <c r="DD298" s="180"/>
      <c r="DE298" s="180"/>
      <c r="DF298" s="180"/>
      <c r="DG298" s="180"/>
      <c r="DH298" s="180"/>
      <c r="DI298" s="180"/>
      <c r="DJ298" s="180"/>
      <c r="DK298" s="180"/>
      <c r="DL298" s="180"/>
      <c r="DM298" s="180"/>
      <c r="DN298" s="180"/>
      <c r="DO298" s="180"/>
      <c r="DP298" s="180"/>
      <c r="DQ298" s="173"/>
      <c r="DR298" s="173"/>
      <c r="DS298" s="173"/>
      <c r="DT298" s="173"/>
      <c r="DU298" s="173"/>
      <c r="DV298" s="198"/>
    </row>
    <row r="299" spans="1:126" x14ac:dyDescent="0.2">
      <c r="A299" s="143" t="s">
        <v>662</v>
      </c>
      <c r="AJ299" s="133"/>
      <c r="AK299" s="133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33"/>
      <c r="CG299" s="176"/>
      <c r="CH299" s="197"/>
      <c r="CI299" s="180"/>
      <c r="CJ299" s="180"/>
      <c r="CK299" s="180"/>
      <c r="CL299" s="180"/>
      <c r="CM299" s="180"/>
      <c r="CN299" s="180"/>
      <c r="CO299" s="180"/>
      <c r="CP299" s="180"/>
      <c r="CQ299" s="180"/>
      <c r="CR299" s="180"/>
      <c r="CS299" s="180"/>
      <c r="CT299" s="180"/>
      <c r="CU299" s="180"/>
      <c r="CV299" s="173"/>
      <c r="CW299" s="173"/>
      <c r="CX299" s="173"/>
      <c r="CY299" s="173"/>
      <c r="CZ299" s="173"/>
      <c r="DA299" s="198"/>
      <c r="DC299" s="197"/>
      <c r="DD299" s="180"/>
      <c r="DE299" s="180"/>
      <c r="DF299" s="180"/>
      <c r="DG299" s="180"/>
      <c r="DH299" s="180"/>
      <c r="DI299" s="180"/>
      <c r="DJ299" s="180"/>
      <c r="DK299" s="180"/>
      <c r="DL299" s="180"/>
      <c r="DM299" s="180"/>
      <c r="DN299" s="180"/>
      <c r="DO299" s="180"/>
      <c r="DP299" s="180"/>
      <c r="DQ299" s="173"/>
      <c r="DR299" s="173"/>
      <c r="DS299" s="173"/>
      <c r="DT299" s="173"/>
      <c r="DU299" s="173"/>
      <c r="DV299" s="198"/>
    </row>
    <row r="300" spans="1:126" x14ac:dyDescent="0.2">
      <c r="A300" s="143" t="s">
        <v>663</v>
      </c>
      <c r="AJ300" s="133"/>
      <c r="AK300" s="133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33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33"/>
      <c r="CG300" s="176"/>
      <c r="CH300" s="199"/>
      <c r="CI300" s="200"/>
      <c r="CJ300" s="200"/>
      <c r="CK300" s="200"/>
      <c r="CL300" s="200"/>
      <c r="CM300" s="200"/>
      <c r="CN300" s="200"/>
      <c r="CO300" s="200"/>
      <c r="CP300" s="200"/>
      <c r="CQ300" s="201"/>
      <c r="CR300" s="202"/>
      <c r="CS300" s="200"/>
      <c r="CT300" s="200"/>
      <c r="CU300" s="200"/>
      <c r="CV300" s="203"/>
      <c r="CW300" s="203"/>
      <c r="CX300" s="203"/>
      <c r="CY300" s="203"/>
      <c r="CZ300" s="203"/>
      <c r="DA300" s="204"/>
      <c r="DC300" s="199"/>
      <c r="DD300" s="200"/>
      <c r="DE300" s="200"/>
      <c r="DF300" s="200"/>
      <c r="DG300" s="200"/>
      <c r="DH300" s="200"/>
      <c r="DI300" s="200"/>
      <c r="DJ300" s="200"/>
      <c r="DK300" s="200"/>
      <c r="DL300" s="200"/>
      <c r="DM300" s="200"/>
      <c r="DN300" s="200"/>
      <c r="DO300" s="200"/>
      <c r="DP300" s="200"/>
      <c r="DQ300" s="203"/>
      <c r="DR300" s="203"/>
      <c r="DS300" s="203"/>
      <c r="DT300" s="203"/>
      <c r="DU300" s="203"/>
      <c r="DV300" s="204"/>
    </row>
    <row r="301" spans="1:126" x14ac:dyDescent="0.2">
      <c r="A301" s="143" t="s">
        <v>664</v>
      </c>
      <c r="AJ301" s="133"/>
      <c r="AK301" s="133"/>
      <c r="AL301" s="183"/>
      <c r="AM301" s="183"/>
      <c r="AN301" s="183"/>
      <c r="AO301" s="183"/>
      <c r="AP301" s="183"/>
      <c r="AQ301" s="183"/>
      <c r="AR301" s="183"/>
      <c r="AS301" s="183"/>
      <c r="AT301" s="183"/>
      <c r="AU301" s="183"/>
      <c r="AV301" s="183"/>
      <c r="AW301" s="183"/>
      <c r="AX301" s="183"/>
      <c r="AY301" s="183"/>
      <c r="AZ301" s="183"/>
      <c r="BA301" s="183"/>
      <c r="BB301" s="183"/>
      <c r="BC301" s="183"/>
      <c r="BD301" s="183"/>
      <c r="BE301" s="183"/>
      <c r="BF301" s="133"/>
      <c r="CG301" s="176">
        <v>16</v>
      </c>
      <c r="CH301" s="192"/>
      <c r="CI301" s="193"/>
      <c r="CJ301" s="193"/>
      <c r="CK301" s="193"/>
      <c r="CL301" s="193"/>
      <c r="CM301" s="193"/>
      <c r="CN301" s="193"/>
      <c r="CO301" s="193"/>
      <c r="CP301" s="193"/>
      <c r="CQ301" s="193"/>
      <c r="CR301" s="193"/>
      <c r="CS301" s="193"/>
      <c r="CT301" s="193"/>
      <c r="CU301" s="193"/>
      <c r="CV301" s="194"/>
      <c r="CW301" s="194"/>
      <c r="CX301" s="194"/>
      <c r="CY301" s="194"/>
      <c r="CZ301" s="194"/>
      <c r="DA301" s="195"/>
      <c r="DC301" s="192"/>
      <c r="DD301" s="193"/>
      <c r="DE301" s="193"/>
      <c r="DF301" s="193"/>
      <c r="DG301" s="193"/>
      <c r="DH301" s="193"/>
      <c r="DI301" s="193"/>
      <c r="DJ301" s="193"/>
      <c r="DK301" s="193"/>
      <c r="DL301" s="193"/>
      <c r="DM301" s="193"/>
      <c r="DN301" s="193"/>
      <c r="DO301" s="193"/>
      <c r="DP301" s="193"/>
      <c r="DQ301" s="194"/>
      <c r="DR301" s="194"/>
      <c r="DS301" s="194"/>
      <c r="DT301" s="194"/>
      <c r="DU301" s="194"/>
      <c r="DV301" s="195"/>
    </row>
    <row r="302" spans="1:126" x14ac:dyDescent="0.2">
      <c r="A302" s="143" t="s">
        <v>665</v>
      </c>
      <c r="AJ302" s="133"/>
      <c r="AK302" s="133"/>
      <c r="AL302" s="183"/>
      <c r="AM302" s="183"/>
      <c r="AN302" s="183"/>
      <c r="AO302" s="183"/>
      <c r="AP302" s="183"/>
      <c r="AQ302" s="183"/>
      <c r="AR302" s="183"/>
      <c r="AS302" s="183"/>
      <c r="AT302" s="183"/>
      <c r="AU302" s="183"/>
      <c r="AV302" s="183"/>
      <c r="AW302" s="183"/>
      <c r="AX302" s="183"/>
      <c r="AY302" s="183"/>
      <c r="AZ302" s="183"/>
      <c r="BA302" s="183"/>
      <c r="BB302" s="183"/>
      <c r="BC302" s="183"/>
      <c r="BD302" s="183"/>
      <c r="BE302" s="183"/>
      <c r="BF302" s="133"/>
      <c r="CG302" s="176"/>
      <c r="CH302" s="169"/>
      <c r="CI302" s="177"/>
      <c r="CJ302" s="177"/>
      <c r="CK302" s="177"/>
      <c r="CL302" s="177"/>
      <c r="CM302" s="177"/>
      <c r="CN302" s="177"/>
      <c r="CO302" s="177"/>
      <c r="CP302" s="177"/>
      <c r="CQ302" s="177"/>
      <c r="CR302" s="177"/>
      <c r="CS302" s="177"/>
      <c r="CT302" s="177"/>
      <c r="CU302" s="177"/>
      <c r="CV302" s="172"/>
      <c r="CW302" s="172"/>
      <c r="CX302" s="172"/>
      <c r="CY302" s="172"/>
      <c r="CZ302" s="172"/>
      <c r="DA302" s="196"/>
      <c r="DC302" s="169"/>
      <c r="DD302" s="177"/>
      <c r="DE302" s="177"/>
      <c r="DF302" s="177"/>
      <c r="DG302" s="177"/>
      <c r="DH302" s="177"/>
      <c r="DI302" s="177"/>
      <c r="DJ302" s="177"/>
      <c r="DK302" s="177"/>
      <c r="DL302" s="177"/>
      <c r="DM302" s="177"/>
      <c r="DN302" s="177"/>
      <c r="DO302" s="177"/>
      <c r="DP302" s="177"/>
      <c r="DQ302" s="172"/>
      <c r="DR302" s="172"/>
      <c r="DS302" s="172"/>
      <c r="DT302" s="172"/>
      <c r="DU302" s="172"/>
      <c r="DV302" s="196"/>
    </row>
    <row r="303" spans="1:126" x14ac:dyDescent="0.2">
      <c r="A303" s="143" t="s">
        <v>666</v>
      </c>
      <c r="AJ303" s="133"/>
      <c r="AK303" s="133"/>
      <c r="AL303" s="183"/>
      <c r="AM303" s="183"/>
      <c r="AN303" s="183"/>
      <c r="AO303" s="183"/>
      <c r="AP303" s="183"/>
      <c r="AQ303" s="183"/>
      <c r="AR303" s="183"/>
      <c r="AS303" s="183"/>
      <c r="AT303" s="183"/>
      <c r="AU303" s="183"/>
      <c r="AV303" s="183"/>
      <c r="AW303" s="183"/>
      <c r="AX303" s="183"/>
      <c r="AY303" s="183"/>
      <c r="AZ303" s="183"/>
      <c r="BA303" s="183"/>
      <c r="BB303" s="183"/>
      <c r="BC303" s="183"/>
      <c r="BD303" s="183"/>
      <c r="BE303" s="183"/>
      <c r="BF303" s="133"/>
      <c r="CG303" s="131"/>
      <c r="CH303" s="169"/>
      <c r="CI303" s="177"/>
      <c r="CJ303" s="177"/>
      <c r="CK303" s="177"/>
      <c r="CL303" s="177"/>
      <c r="CM303" s="177"/>
      <c r="CN303" s="177"/>
      <c r="CO303" s="177"/>
      <c r="CP303" s="177"/>
      <c r="CQ303" s="177"/>
      <c r="CR303" s="177"/>
      <c r="CS303" s="177"/>
      <c r="CT303" s="177"/>
      <c r="CU303" s="177"/>
      <c r="CV303" s="172"/>
      <c r="CW303" s="172"/>
      <c r="CX303" s="172"/>
      <c r="CY303" s="172"/>
      <c r="CZ303" s="172"/>
      <c r="DA303" s="196"/>
      <c r="DC303" s="169"/>
      <c r="DD303" s="177"/>
      <c r="DE303" s="177"/>
      <c r="DF303" s="177"/>
      <c r="DG303" s="177"/>
      <c r="DH303" s="177"/>
      <c r="DI303" s="177"/>
      <c r="DJ303" s="177"/>
      <c r="DK303" s="177"/>
      <c r="DL303" s="177"/>
      <c r="DM303" s="177"/>
      <c r="DN303" s="177"/>
      <c r="DO303" s="177"/>
      <c r="DP303" s="177"/>
      <c r="DQ303" s="172"/>
      <c r="DR303" s="172"/>
      <c r="DS303" s="172"/>
      <c r="DT303" s="172"/>
      <c r="DU303" s="172"/>
      <c r="DV303" s="196"/>
    </row>
    <row r="304" spans="1:126" x14ac:dyDescent="0.2">
      <c r="A304" s="143" t="s">
        <v>667</v>
      </c>
      <c r="AJ304" s="133"/>
      <c r="AK304" s="133"/>
      <c r="AL304" s="183"/>
      <c r="AM304" s="183"/>
      <c r="AN304" s="183"/>
      <c r="AO304" s="183"/>
      <c r="AP304" s="183"/>
      <c r="AQ304" s="183"/>
      <c r="AR304" s="183"/>
      <c r="AS304" s="183"/>
      <c r="AT304" s="183"/>
      <c r="AU304" s="183"/>
      <c r="AV304" s="183"/>
      <c r="AW304" s="183"/>
      <c r="AX304" s="183"/>
      <c r="AY304" s="183"/>
      <c r="AZ304" s="183"/>
      <c r="BA304" s="183"/>
      <c r="BB304" s="183"/>
      <c r="BC304" s="183"/>
      <c r="BD304" s="183"/>
      <c r="BE304" s="183"/>
      <c r="BF304" s="133"/>
      <c r="CG304" s="176"/>
      <c r="CH304" s="169"/>
      <c r="CI304" s="177"/>
      <c r="CJ304" s="177"/>
      <c r="CK304" s="177"/>
      <c r="CL304" s="177"/>
      <c r="CM304" s="177"/>
      <c r="CN304" s="177"/>
      <c r="CO304" s="177"/>
      <c r="CP304" s="177"/>
      <c r="CQ304" s="177"/>
      <c r="CR304" s="177"/>
      <c r="CS304" s="177"/>
      <c r="CT304" s="177"/>
      <c r="CU304" s="177"/>
      <c r="CV304" s="172"/>
      <c r="CW304" s="172"/>
      <c r="CX304" s="172"/>
      <c r="CY304" s="172"/>
      <c r="CZ304" s="172"/>
      <c r="DA304" s="196"/>
      <c r="DC304" s="169"/>
      <c r="DD304" s="177"/>
      <c r="DE304" s="177"/>
      <c r="DF304" s="177"/>
      <c r="DG304" s="177"/>
      <c r="DH304" s="177"/>
      <c r="DI304" s="177"/>
      <c r="DJ304" s="177"/>
      <c r="DK304" s="177"/>
      <c r="DL304" s="177"/>
      <c r="DM304" s="177"/>
      <c r="DN304" s="177"/>
      <c r="DO304" s="177"/>
      <c r="DP304" s="177"/>
      <c r="DQ304" s="172"/>
      <c r="DR304" s="172"/>
      <c r="DS304" s="172"/>
      <c r="DT304" s="172"/>
      <c r="DU304" s="172"/>
      <c r="DV304" s="196"/>
    </row>
    <row r="305" spans="1:126" x14ac:dyDescent="0.2">
      <c r="A305" s="143" t="s">
        <v>668</v>
      </c>
      <c r="AJ305" s="133"/>
      <c r="AK305" s="133"/>
      <c r="AL305" s="183"/>
      <c r="AM305" s="183"/>
      <c r="AN305" s="183"/>
      <c r="AO305" s="183"/>
      <c r="AP305" s="183"/>
      <c r="AQ305" s="183"/>
      <c r="AR305" s="183"/>
      <c r="AS305" s="183"/>
      <c r="AT305" s="183"/>
      <c r="AU305" s="183"/>
      <c r="AV305" s="183"/>
      <c r="AW305" s="183"/>
      <c r="AX305" s="183"/>
      <c r="AY305" s="183"/>
      <c r="AZ305" s="183"/>
      <c r="BA305" s="183"/>
      <c r="BB305" s="183"/>
      <c r="BC305" s="183"/>
      <c r="BD305" s="183"/>
      <c r="BE305" s="183"/>
      <c r="BF305" s="133"/>
      <c r="CG305" s="178"/>
      <c r="CH305" s="169"/>
      <c r="CI305" s="177"/>
      <c r="CJ305" s="177"/>
      <c r="CK305" s="177"/>
      <c r="CL305" s="177"/>
      <c r="CM305" s="177"/>
      <c r="CN305" s="177"/>
      <c r="CO305" s="177"/>
      <c r="CP305" s="177"/>
      <c r="CQ305" s="177"/>
      <c r="CR305" s="177"/>
      <c r="CS305" s="177"/>
      <c r="CT305" s="177"/>
      <c r="CU305" s="177"/>
      <c r="CV305" s="172"/>
      <c r="CW305" s="172"/>
      <c r="CX305" s="172"/>
      <c r="CY305" s="172"/>
      <c r="CZ305" s="172"/>
      <c r="DA305" s="196"/>
      <c r="DC305" s="169"/>
      <c r="DD305" s="177"/>
      <c r="DE305" s="177"/>
      <c r="DF305" s="177"/>
      <c r="DG305" s="177"/>
      <c r="DH305" s="177"/>
      <c r="DI305" s="177"/>
      <c r="DJ305" s="177"/>
      <c r="DK305" s="177"/>
      <c r="DL305" s="177"/>
      <c r="DM305" s="177"/>
      <c r="DN305" s="177"/>
      <c r="DO305" s="177"/>
      <c r="DP305" s="177"/>
      <c r="DQ305" s="172"/>
      <c r="DR305" s="172"/>
      <c r="DS305" s="172"/>
      <c r="DT305" s="172"/>
      <c r="DU305" s="172"/>
      <c r="DV305" s="196"/>
    </row>
    <row r="306" spans="1:126" x14ac:dyDescent="0.2">
      <c r="A306" s="143" t="s">
        <v>669</v>
      </c>
      <c r="AJ306" s="133"/>
      <c r="AK306" s="133"/>
      <c r="AL306" s="183"/>
      <c r="AM306" s="183"/>
      <c r="AN306" s="183"/>
      <c r="AO306" s="183"/>
      <c r="AP306" s="183"/>
      <c r="AQ306" s="183"/>
      <c r="AR306" s="183"/>
      <c r="AS306" s="183"/>
      <c r="AT306" s="183"/>
      <c r="AU306" s="183"/>
      <c r="AV306" s="183"/>
      <c r="AW306" s="183"/>
      <c r="AX306" s="183"/>
      <c r="AY306" s="183"/>
      <c r="AZ306" s="183"/>
      <c r="BA306" s="183"/>
      <c r="BB306" s="183"/>
      <c r="BC306" s="183"/>
      <c r="BD306" s="183"/>
      <c r="BE306" s="183"/>
      <c r="BF306" s="133"/>
      <c r="CG306" s="179"/>
      <c r="CH306" s="169"/>
      <c r="CI306" s="177"/>
      <c r="CJ306" s="177"/>
      <c r="CK306" s="177"/>
      <c r="CL306" s="177"/>
      <c r="CM306" s="177"/>
      <c r="CN306" s="177"/>
      <c r="CO306" s="177"/>
      <c r="CP306" s="177"/>
      <c r="CQ306" s="177"/>
      <c r="CR306" s="177"/>
      <c r="CS306" s="177"/>
      <c r="CT306" s="177"/>
      <c r="CU306" s="177"/>
      <c r="CV306" s="172"/>
      <c r="CW306" s="172"/>
      <c r="CX306" s="172"/>
      <c r="CY306" s="172"/>
      <c r="CZ306" s="172"/>
      <c r="DA306" s="196"/>
      <c r="DC306" s="169"/>
      <c r="DD306" s="177"/>
      <c r="DE306" s="177"/>
      <c r="DF306" s="177"/>
      <c r="DG306" s="177"/>
      <c r="DH306" s="177"/>
      <c r="DI306" s="177"/>
      <c r="DJ306" s="177"/>
      <c r="DK306" s="177"/>
      <c r="DL306" s="177"/>
      <c r="DM306" s="177"/>
      <c r="DN306" s="177"/>
      <c r="DO306" s="177"/>
      <c r="DP306" s="177"/>
      <c r="DQ306" s="172"/>
      <c r="DR306" s="172"/>
      <c r="DS306" s="172"/>
      <c r="DT306" s="172"/>
      <c r="DU306" s="172"/>
      <c r="DV306" s="196"/>
    </row>
    <row r="307" spans="1:126" x14ac:dyDescent="0.2">
      <c r="A307" s="143" t="s">
        <v>670</v>
      </c>
      <c r="AJ307" s="133"/>
      <c r="AK307" s="133"/>
      <c r="AL307" s="183"/>
      <c r="AM307" s="183"/>
      <c r="AN307" s="183"/>
      <c r="AO307" s="183"/>
      <c r="AP307" s="183"/>
      <c r="AQ307" s="183"/>
      <c r="AR307" s="183"/>
      <c r="AS307" s="183"/>
      <c r="AT307" s="183"/>
      <c r="AU307" s="183"/>
      <c r="AV307" s="183"/>
      <c r="AW307" s="183"/>
      <c r="AX307" s="183"/>
      <c r="AY307" s="183"/>
      <c r="AZ307" s="183"/>
      <c r="BA307" s="183"/>
      <c r="BB307" s="183"/>
      <c r="BC307" s="183"/>
      <c r="BD307" s="183"/>
      <c r="BE307" s="183"/>
      <c r="BF307" s="133"/>
      <c r="CG307" s="179"/>
      <c r="CH307" s="169"/>
      <c r="CI307" s="177"/>
      <c r="CJ307" s="177"/>
      <c r="CK307" s="177"/>
      <c r="CL307" s="177"/>
      <c r="CM307" s="177"/>
      <c r="CN307" s="177"/>
      <c r="CO307" s="177"/>
      <c r="CP307" s="177"/>
      <c r="CQ307" s="177"/>
      <c r="CR307" s="177"/>
      <c r="CS307" s="177"/>
      <c r="CT307" s="177"/>
      <c r="CU307" s="177"/>
      <c r="CV307" s="172"/>
      <c r="CW307" s="172"/>
      <c r="CX307" s="172"/>
      <c r="CY307" s="172"/>
      <c r="CZ307" s="172"/>
      <c r="DA307" s="196"/>
      <c r="DC307" s="169"/>
      <c r="DD307" s="177"/>
      <c r="DE307" s="177"/>
      <c r="DF307" s="177"/>
      <c r="DG307" s="177"/>
      <c r="DH307" s="177"/>
      <c r="DI307" s="177"/>
      <c r="DJ307" s="177"/>
      <c r="DK307" s="177"/>
      <c r="DL307" s="177"/>
      <c r="DM307" s="177"/>
      <c r="DN307" s="177"/>
      <c r="DO307" s="177"/>
      <c r="DP307" s="177"/>
      <c r="DQ307" s="172"/>
      <c r="DR307" s="172"/>
      <c r="DS307" s="172"/>
      <c r="DT307" s="172"/>
      <c r="DU307" s="172"/>
      <c r="DV307" s="196"/>
    </row>
    <row r="308" spans="1:126" x14ac:dyDescent="0.2">
      <c r="A308" s="143" t="s">
        <v>671</v>
      </c>
      <c r="AJ308" s="133"/>
      <c r="AK308" s="133"/>
      <c r="AL308" s="183"/>
      <c r="AM308" s="183"/>
      <c r="AN308" s="183"/>
      <c r="AO308" s="183"/>
      <c r="AP308" s="183"/>
      <c r="AQ308" s="183"/>
      <c r="AR308" s="183"/>
      <c r="AS308" s="183"/>
      <c r="AT308" s="183"/>
      <c r="AU308" s="183"/>
      <c r="AV308" s="183"/>
      <c r="AW308" s="183"/>
      <c r="AX308" s="183"/>
      <c r="AY308" s="183"/>
      <c r="AZ308" s="183"/>
      <c r="BA308" s="183"/>
      <c r="BB308" s="183"/>
      <c r="BC308" s="183"/>
      <c r="BD308" s="183"/>
      <c r="BE308" s="183"/>
      <c r="BF308" s="133"/>
      <c r="CG308" s="179"/>
      <c r="CH308" s="169"/>
      <c r="CI308" s="177"/>
      <c r="CJ308" s="177"/>
      <c r="CK308" s="177"/>
      <c r="CL308" s="177"/>
      <c r="CM308" s="177"/>
      <c r="CN308" s="177"/>
      <c r="CO308" s="177"/>
      <c r="CP308" s="177"/>
      <c r="CQ308" s="177"/>
      <c r="CR308" s="177"/>
      <c r="CS308" s="177"/>
      <c r="CT308" s="177"/>
      <c r="CU308" s="177"/>
      <c r="CV308" s="172"/>
      <c r="CW308" s="172"/>
      <c r="CX308" s="172"/>
      <c r="CY308" s="172"/>
      <c r="CZ308" s="172"/>
      <c r="DA308" s="196"/>
      <c r="DC308" s="169"/>
      <c r="DD308" s="177"/>
      <c r="DE308" s="177"/>
      <c r="DF308" s="177"/>
      <c r="DG308" s="177"/>
      <c r="DH308" s="177"/>
      <c r="DI308" s="177"/>
      <c r="DJ308" s="177"/>
      <c r="DK308" s="177"/>
      <c r="DL308" s="177"/>
      <c r="DM308" s="177"/>
      <c r="DN308" s="177"/>
      <c r="DO308" s="177"/>
      <c r="DP308" s="177"/>
      <c r="DQ308" s="172"/>
      <c r="DR308" s="172"/>
      <c r="DS308" s="172"/>
      <c r="DT308" s="172"/>
      <c r="DU308" s="172"/>
      <c r="DV308" s="196"/>
    </row>
    <row r="309" spans="1:126" x14ac:dyDescent="0.2">
      <c r="A309" s="143" t="s">
        <v>672</v>
      </c>
      <c r="AJ309" s="133"/>
      <c r="AK309" s="133"/>
      <c r="AL309" s="183"/>
      <c r="AM309" s="183"/>
      <c r="AN309" s="183"/>
      <c r="AO309" s="183"/>
      <c r="AP309" s="183"/>
      <c r="AQ309" s="183"/>
      <c r="AR309" s="183"/>
      <c r="AS309" s="183"/>
      <c r="AT309" s="183"/>
      <c r="AU309" s="183"/>
      <c r="AV309" s="183"/>
      <c r="AW309" s="183"/>
      <c r="AX309" s="183"/>
      <c r="AY309" s="183"/>
      <c r="AZ309" s="183"/>
      <c r="BA309" s="183"/>
      <c r="BB309" s="183"/>
      <c r="BC309" s="183"/>
      <c r="BD309" s="183"/>
      <c r="BE309" s="183"/>
      <c r="BF309" s="133"/>
      <c r="CG309" s="179"/>
      <c r="CH309" s="169"/>
      <c r="CI309" s="177"/>
      <c r="CJ309" s="177"/>
      <c r="CK309" s="177"/>
      <c r="CL309" s="177"/>
      <c r="CM309" s="177"/>
      <c r="CN309" s="177"/>
      <c r="CO309" s="177"/>
      <c r="CP309" s="177"/>
      <c r="CQ309" s="177"/>
      <c r="CR309" s="177"/>
      <c r="CS309" s="177"/>
      <c r="CT309" s="177"/>
      <c r="CU309" s="177"/>
      <c r="CV309" s="172"/>
      <c r="CW309" s="172"/>
      <c r="CX309" s="172"/>
      <c r="CY309" s="172"/>
      <c r="CZ309" s="172"/>
      <c r="DA309" s="196"/>
      <c r="DC309" s="169"/>
      <c r="DD309" s="177"/>
      <c r="DE309" s="177"/>
      <c r="DF309" s="177"/>
      <c r="DG309" s="177"/>
      <c r="DH309" s="177"/>
      <c r="DI309" s="177"/>
      <c r="DJ309" s="177"/>
      <c r="DK309" s="177"/>
      <c r="DL309" s="177"/>
      <c r="DM309" s="177"/>
      <c r="DN309" s="177"/>
      <c r="DO309" s="177"/>
      <c r="DP309" s="177"/>
      <c r="DQ309" s="172"/>
      <c r="DR309" s="172"/>
      <c r="DS309" s="172"/>
      <c r="DT309" s="172"/>
      <c r="DU309" s="172"/>
      <c r="DV309" s="196"/>
    </row>
    <row r="310" spans="1:126" x14ac:dyDescent="0.2">
      <c r="A310" s="143" t="s">
        <v>673</v>
      </c>
      <c r="AJ310" s="133"/>
      <c r="AK310" s="133"/>
      <c r="AL310" s="183"/>
      <c r="AM310" s="183"/>
      <c r="AN310" s="183"/>
      <c r="AO310" s="183"/>
      <c r="AP310" s="183"/>
      <c r="AQ310" s="183"/>
      <c r="AR310" s="183"/>
      <c r="AS310" s="183"/>
      <c r="AT310" s="183"/>
      <c r="AU310" s="183"/>
      <c r="AV310" s="183"/>
      <c r="AW310" s="183"/>
      <c r="AX310" s="183"/>
      <c r="AY310" s="183"/>
      <c r="AZ310" s="183"/>
      <c r="BA310" s="183"/>
      <c r="BB310" s="183"/>
      <c r="BC310" s="183"/>
      <c r="BD310" s="183"/>
      <c r="BE310" s="183"/>
      <c r="BF310" s="133"/>
      <c r="CG310" s="179"/>
      <c r="CH310" s="169"/>
      <c r="CI310" s="177"/>
      <c r="CJ310" s="177"/>
      <c r="CK310" s="177"/>
      <c r="CL310" s="177"/>
      <c r="CM310" s="177"/>
      <c r="CN310" s="177"/>
      <c r="CO310" s="177"/>
      <c r="CP310" s="177"/>
      <c r="CQ310" s="177"/>
      <c r="CR310" s="177"/>
      <c r="CS310" s="177"/>
      <c r="CT310" s="177"/>
      <c r="CU310" s="177"/>
      <c r="CV310" s="172"/>
      <c r="CW310" s="172"/>
      <c r="CX310" s="172"/>
      <c r="CY310" s="172"/>
      <c r="CZ310" s="172"/>
      <c r="DA310" s="196"/>
      <c r="DC310" s="169"/>
      <c r="DD310" s="177"/>
      <c r="DE310" s="177"/>
      <c r="DF310" s="177"/>
      <c r="DG310" s="177"/>
      <c r="DH310" s="177"/>
      <c r="DI310" s="177"/>
      <c r="DJ310" s="177"/>
      <c r="DK310" s="177"/>
      <c r="DL310" s="177"/>
      <c r="DM310" s="177"/>
      <c r="DN310" s="177"/>
      <c r="DO310" s="177"/>
      <c r="DP310" s="177"/>
      <c r="DQ310" s="172"/>
      <c r="DR310" s="172"/>
      <c r="DS310" s="172"/>
      <c r="DT310" s="172"/>
      <c r="DU310" s="172"/>
      <c r="DV310" s="196"/>
    </row>
    <row r="311" spans="1:126" x14ac:dyDescent="0.2">
      <c r="A311" s="143" t="s">
        <v>674</v>
      </c>
      <c r="AJ311" s="133"/>
      <c r="AK311" s="133"/>
      <c r="AL311" s="183"/>
      <c r="AM311" s="183"/>
      <c r="AN311" s="183"/>
      <c r="AO311" s="183"/>
      <c r="AP311" s="183"/>
      <c r="AQ311" s="183"/>
      <c r="AR311" s="183"/>
      <c r="AS311" s="183"/>
      <c r="AT311" s="183"/>
      <c r="AU311" s="183"/>
      <c r="AV311" s="183"/>
      <c r="AW311" s="183"/>
      <c r="AX311" s="183"/>
      <c r="AY311" s="183"/>
      <c r="AZ311" s="183"/>
      <c r="BA311" s="183"/>
      <c r="BB311" s="183"/>
      <c r="BC311" s="183"/>
      <c r="BD311" s="183"/>
      <c r="BE311" s="183"/>
      <c r="BF311" s="133"/>
      <c r="CG311" s="179"/>
      <c r="CH311" s="169"/>
      <c r="CI311" s="177"/>
      <c r="CJ311" s="177"/>
      <c r="CK311" s="177"/>
      <c r="CL311" s="177"/>
      <c r="CM311" s="177"/>
      <c r="CN311" s="177"/>
      <c r="CO311" s="177"/>
      <c r="CP311" s="177"/>
      <c r="CQ311" s="177"/>
      <c r="CR311" s="177"/>
      <c r="CS311" s="177"/>
      <c r="CT311" s="177"/>
      <c r="CU311" s="177"/>
      <c r="CV311" s="172"/>
      <c r="CW311" s="172"/>
      <c r="CX311" s="172"/>
      <c r="CY311" s="172"/>
      <c r="CZ311" s="172"/>
      <c r="DA311" s="196"/>
      <c r="DC311" s="169"/>
      <c r="DD311" s="177"/>
      <c r="DE311" s="177"/>
      <c r="DF311" s="177"/>
      <c r="DG311" s="177"/>
      <c r="DH311" s="177"/>
      <c r="DI311" s="177"/>
      <c r="DJ311" s="177"/>
      <c r="DK311" s="177"/>
      <c r="DL311" s="177"/>
      <c r="DM311" s="177"/>
      <c r="DN311" s="177"/>
      <c r="DO311" s="177"/>
      <c r="DP311" s="177"/>
      <c r="DQ311" s="172"/>
      <c r="DR311" s="172"/>
      <c r="DS311" s="172"/>
      <c r="DT311" s="172"/>
      <c r="DU311" s="172"/>
      <c r="DV311" s="196"/>
    </row>
    <row r="312" spans="1:126" x14ac:dyDescent="0.2">
      <c r="A312" s="143" t="s">
        <v>675</v>
      </c>
      <c r="AJ312" s="133"/>
      <c r="AK312" s="133"/>
      <c r="AL312" s="183"/>
      <c r="AM312" s="183"/>
      <c r="AN312" s="183"/>
      <c r="AO312" s="183"/>
      <c r="AP312" s="183"/>
      <c r="AQ312" s="183"/>
      <c r="AR312" s="183"/>
      <c r="AS312" s="183"/>
      <c r="AT312" s="183"/>
      <c r="AU312" s="183"/>
      <c r="AV312" s="183"/>
      <c r="AW312" s="183"/>
      <c r="AX312" s="183"/>
      <c r="AY312" s="183"/>
      <c r="AZ312" s="183"/>
      <c r="BA312" s="183"/>
      <c r="BB312" s="183"/>
      <c r="BC312" s="183"/>
      <c r="BD312" s="183"/>
      <c r="BE312" s="183"/>
      <c r="BF312" s="133"/>
      <c r="CG312" s="179"/>
      <c r="CH312" s="169"/>
      <c r="CI312" s="177"/>
      <c r="CJ312" s="177"/>
      <c r="CK312" s="177"/>
      <c r="CL312" s="177"/>
      <c r="CM312" s="177"/>
      <c r="CN312" s="177"/>
      <c r="CO312" s="177"/>
      <c r="CP312" s="177"/>
      <c r="CQ312" s="177"/>
      <c r="CR312" s="177"/>
      <c r="CS312" s="177"/>
      <c r="CT312" s="177"/>
      <c r="CU312" s="177"/>
      <c r="CV312" s="172"/>
      <c r="CW312" s="172"/>
      <c r="CX312" s="172"/>
      <c r="CY312" s="172"/>
      <c r="CZ312" s="172"/>
      <c r="DA312" s="196"/>
      <c r="DC312" s="169"/>
      <c r="DD312" s="177"/>
      <c r="DE312" s="177"/>
      <c r="DF312" s="177"/>
      <c r="DG312" s="177"/>
      <c r="DH312" s="177"/>
      <c r="DI312" s="177"/>
      <c r="DJ312" s="177"/>
      <c r="DK312" s="177"/>
      <c r="DL312" s="177"/>
      <c r="DM312" s="177"/>
      <c r="DN312" s="177"/>
      <c r="DO312" s="177"/>
      <c r="DP312" s="177"/>
      <c r="DQ312" s="172"/>
      <c r="DR312" s="172"/>
      <c r="DS312" s="172"/>
      <c r="DT312" s="172"/>
      <c r="DU312" s="172"/>
      <c r="DV312" s="196"/>
    </row>
    <row r="313" spans="1:126" x14ac:dyDescent="0.2">
      <c r="A313" s="143" t="s">
        <v>676</v>
      </c>
      <c r="AJ313" s="133"/>
      <c r="AK313" s="133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33"/>
      <c r="CG313" s="179"/>
      <c r="CH313" s="197"/>
      <c r="CI313" s="180"/>
      <c r="CJ313" s="180"/>
      <c r="CK313" s="180"/>
      <c r="CL313" s="180"/>
      <c r="CM313" s="180"/>
      <c r="CN313" s="180"/>
      <c r="CO313" s="180"/>
      <c r="CP313" s="180"/>
      <c r="CQ313" s="180"/>
      <c r="CR313" s="180"/>
      <c r="CS313" s="180"/>
      <c r="CT313" s="180"/>
      <c r="CU313" s="180"/>
      <c r="CV313" s="173"/>
      <c r="CW313" s="173"/>
      <c r="CX313" s="173"/>
      <c r="CY313" s="173"/>
      <c r="CZ313" s="173"/>
      <c r="DA313" s="198"/>
      <c r="DC313" s="197"/>
      <c r="DD313" s="180"/>
      <c r="DE313" s="180"/>
      <c r="DF313" s="180"/>
      <c r="DG313" s="180"/>
      <c r="DH313" s="180"/>
      <c r="DI313" s="180"/>
      <c r="DJ313" s="180"/>
      <c r="DK313" s="180"/>
      <c r="DL313" s="180"/>
      <c r="DM313" s="180"/>
      <c r="DN313" s="180"/>
      <c r="DO313" s="180"/>
      <c r="DP313" s="180"/>
      <c r="DQ313" s="173"/>
      <c r="DR313" s="173"/>
      <c r="DS313" s="173"/>
      <c r="DT313" s="173"/>
      <c r="DU313" s="173"/>
      <c r="DV313" s="198"/>
    </row>
    <row r="314" spans="1:126" x14ac:dyDescent="0.2">
      <c r="A314" s="143" t="s">
        <v>677</v>
      </c>
      <c r="AJ314" s="133"/>
      <c r="AK314" s="133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33"/>
      <c r="CG314" s="179"/>
      <c r="CH314" s="197"/>
      <c r="CI314" s="180"/>
      <c r="CJ314" s="180"/>
      <c r="CK314" s="180"/>
      <c r="CL314" s="180"/>
      <c r="CM314" s="180"/>
      <c r="CN314" s="180"/>
      <c r="CO314" s="180"/>
      <c r="CP314" s="180"/>
      <c r="CQ314" s="180"/>
      <c r="CR314" s="180"/>
      <c r="CS314" s="180"/>
      <c r="CT314" s="180"/>
      <c r="CU314" s="180"/>
      <c r="CV314" s="173"/>
      <c r="CW314" s="173"/>
      <c r="CX314" s="173"/>
      <c r="CY314" s="173"/>
      <c r="CZ314" s="173"/>
      <c r="DA314" s="198"/>
      <c r="DC314" s="197"/>
      <c r="DD314" s="180"/>
      <c r="DE314" s="180"/>
      <c r="DF314" s="180"/>
      <c r="DG314" s="180"/>
      <c r="DH314" s="180"/>
      <c r="DI314" s="180"/>
      <c r="DJ314" s="180"/>
      <c r="DK314" s="180"/>
      <c r="DL314" s="180"/>
      <c r="DM314" s="180"/>
      <c r="DN314" s="180"/>
      <c r="DO314" s="180"/>
      <c r="DP314" s="180"/>
      <c r="DQ314" s="173"/>
      <c r="DR314" s="173"/>
      <c r="DS314" s="173"/>
      <c r="DT314" s="173"/>
      <c r="DU314" s="173"/>
      <c r="DV314" s="198"/>
    </row>
    <row r="315" spans="1:126" x14ac:dyDescent="0.2">
      <c r="A315" s="143" t="s">
        <v>678</v>
      </c>
      <c r="AJ315" s="133"/>
      <c r="AK315" s="133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33"/>
      <c r="CG315" s="179"/>
      <c r="CH315" s="197"/>
      <c r="CI315" s="180"/>
      <c r="CJ315" s="180"/>
      <c r="CK315" s="180"/>
      <c r="CL315" s="180"/>
      <c r="CM315" s="180"/>
      <c r="CN315" s="180"/>
      <c r="CO315" s="180"/>
      <c r="CP315" s="180"/>
      <c r="CQ315" s="180"/>
      <c r="CR315" s="180"/>
      <c r="CS315" s="180"/>
      <c r="CT315" s="180"/>
      <c r="CU315" s="180"/>
      <c r="CV315" s="173"/>
      <c r="CW315" s="173"/>
      <c r="CX315" s="173"/>
      <c r="CY315" s="173"/>
      <c r="CZ315" s="173"/>
      <c r="DA315" s="198"/>
      <c r="DC315" s="197"/>
      <c r="DD315" s="180"/>
      <c r="DE315" s="180"/>
      <c r="DF315" s="180"/>
      <c r="DG315" s="180"/>
      <c r="DH315" s="180"/>
      <c r="DI315" s="180"/>
      <c r="DJ315" s="180"/>
      <c r="DK315" s="180"/>
      <c r="DL315" s="180"/>
      <c r="DM315" s="180"/>
      <c r="DN315" s="180"/>
      <c r="DO315" s="180"/>
      <c r="DP315" s="180"/>
      <c r="DQ315" s="173"/>
      <c r="DR315" s="173"/>
      <c r="DS315" s="173"/>
      <c r="DT315" s="173"/>
      <c r="DU315" s="173"/>
      <c r="DV315" s="198"/>
    </row>
    <row r="316" spans="1:126" x14ac:dyDescent="0.2">
      <c r="A316" s="143" t="s">
        <v>679</v>
      </c>
      <c r="AJ316" s="133"/>
      <c r="AK316" s="133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33"/>
      <c r="CG316" s="179"/>
      <c r="CH316" s="197"/>
      <c r="CI316" s="180"/>
      <c r="CJ316" s="180"/>
      <c r="CK316" s="180"/>
      <c r="CL316" s="180"/>
      <c r="CM316" s="180"/>
      <c r="CN316" s="180"/>
      <c r="CO316" s="180"/>
      <c r="CP316" s="180"/>
      <c r="CQ316" s="180"/>
      <c r="CR316" s="180"/>
      <c r="CS316" s="180"/>
      <c r="CT316" s="180"/>
      <c r="CU316" s="180"/>
      <c r="CV316" s="173"/>
      <c r="CW316" s="173"/>
      <c r="CX316" s="173"/>
      <c r="CY316" s="173"/>
      <c r="CZ316" s="173"/>
      <c r="DA316" s="198"/>
      <c r="DC316" s="197"/>
      <c r="DD316" s="180"/>
      <c r="DE316" s="180"/>
      <c r="DF316" s="180"/>
      <c r="DG316" s="180"/>
      <c r="DH316" s="180"/>
      <c r="DI316" s="180"/>
      <c r="DJ316" s="180"/>
      <c r="DK316" s="180"/>
      <c r="DL316" s="180"/>
      <c r="DM316" s="180"/>
      <c r="DN316" s="180"/>
      <c r="DO316" s="180"/>
      <c r="DP316" s="180"/>
      <c r="DQ316" s="173"/>
      <c r="DR316" s="173"/>
      <c r="DS316" s="173"/>
      <c r="DT316" s="173"/>
      <c r="DU316" s="173"/>
      <c r="DV316" s="198"/>
    </row>
    <row r="317" spans="1:126" x14ac:dyDescent="0.2">
      <c r="A317" s="144" t="s">
        <v>680</v>
      </c>
      <c r="AJ317" s="133"/>
      <c r="AK317" s="133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33"/>
      <c r="CG317" s="179"/>
      <c r="CH317" s="197"/>
      <c r="CI317" s="180"/>
      <c r="CJ317" s="180"/>
      <c r="CK317" s="180"/>
      <c r="CL317" s="180"/>
      <c r="CM317" s="180"/>
      <c r="CN317" s="180"/>
      <c r="CO317" s="180"/>
      <c r="CP317" s="180"/>
      <c r="CQ317" s="180"/>
      <c r="CR317" s="180"/>
      <c r="CS317" s="180"/>
      <c r="CT317" s="180"/>
      <c r="CU317" s="180"/>
      <c r="CV317" s="173"/>
      <c r="CW317" s="173"/>
      <c r="CX317" s="173"/>
      <c r="CY317" s="173"/>
      <c r="CZ317" s="173"/>
      <c r="DA317" s="198"/>
      <c r="DC317" s="197"/>
      <c r="DD317" s="180"/>
      <c r="DE317" s="180"/>
      <c r="DF317" s="180"/>
      <c r="DG317" s="180"/>
      <c r="DH317" s="180"/>
      <c r="DI317" s="180"/>
      <c r="DJ317" s="180"/>
      <c r="DK317" s="180"/>
      <c r="DL317" s="180"/>
      <c r="DM317" s="180"/>
      <c r="DN317" s="180"/>
      <c r="DO317" s="180"/>
      <c r="DP317" s="180"/>
      <c r="DQ317" s="173"/>
      <c r="DR317" s="173"/>
      <c r="DS317" s="173"/>
      <c r="DT317" s="173"/>
      <c r="DU317" s="173"/>
      <c r="DV317" s="198"/>
    </row>
    <row r="318" spans="1:126" x14ac:dyDescent="0.2">
      <c r="A318" s="142" t="s">
        <v>681</v>
      </c>
      <c r="AJ318" s="133"/>
      <c r="AK318" s="133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33"/>
      <c r="CG318" s="176"/>
      <c r="CH318" s="197"/>
      <c r="CI318" s="180"/>
      <c r="CJ318" s="180"/>
      <c r="CK318" s="180"/>
      <c r="CL318" s="180"/>
      <c r="CM318" s="180"/>
      <c r="CN318" s="180"/>
      <c r="CO318" s="180"/>
      <c r="CP318" s="180"/>
      <c r="CQ318" s="180"/>
      <c r="CR318" s="180"/>
      <c r="CS318" s="180"/>
      <c r="CT318" s="180"/>
      <c r="CU318" s="180"/>
      <c r="CV318" s="173"/>
      <c r="CW318" s="173"/>
      <c r="CX318" s="173"/>
      <c r="CY318" s="173"/>
      <c r="CZ318" s="173"/>
      <c r="DA318" s="198"/>
      <c r="DC318" s="197"/>
      <c r="DD318" s="180"/>
      <c r="DE318" s="180"/>
      <c r="DF318" s="180"/>
      <c r="DG318" s="180"/>
      <c r="DH318" s="180"/>
      <c r="DI318" s="180"/>
      <c r="DJ318" s="180"/>
      <c r="DK318" s="180"/>
      <c r="DL318" s="180"/>
      <c r="DM318" s="180"/>
      <c r="DN318" s="180"/>
      <c r="DO318" s="180"/>
      <c r="DP318" s="180"/>
      <c r="DQ318" s="173"/>
      <c r="DR318" s="173"/>
      <c r="DS318" s="173"/>
      <c r="DT318" s="173"/>
      <c r="DU318" s="173"/>
      <c r="DV318" s="198"/>
    </row>
    <row r="319" spans="1:126" x14ac:dyDescent="0.2">
      <c r="A319" s="143" t="s">
        <v>682</v>
      </c>
      <c r="AJ319" s="133"/>
      <c r="AK319" s="133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33"/>
      <c r="CG319" s="176"/>
      <c r="CH319" s="197"/>
      <c r="CI319" s="180"/>
      <c r="CJ319" s="180"/>
      <c r="CK319" s="180"/>
      <c r="CL319" s="180"/>
      <c r="CM319" s="180"/>
      <c r="CN319" s="180"/>
      <c r="CO319" s="180"/>
      <c r="CP319" s="180"/>
      <c r="CQ319" s="180"/>
      <c r="CR319" s="180"/>
      <c r="CS319" s="180"/>
      <c r="CT319" s="180"/>
      <c r="CU319" s="180"/>
      <c r="CV319" s="173"/>
      <c r="CW319" s="173"/>
      <c r="CX319" s="173"/>
      <c r="CY319" s="173"/>
      <c r="CZ319" s="173"/>
      <c r="DA319" s="198"/>
      <c r="DC319" s="197"/>
      <c r="DD319" s="180"/>
      <c r="DE319" s="180"/>
      <c r="DF319" s="180"/>
      <c r="DG319" s="180"/>
      <c r="DH319" s="180"/>
      <c r="DI319" s="180"/>
      <c r="DJ319" s="180"/>
      <c r="DK319" s="180"/>
      <c r="DL319" s="180"/>
      <c r="DM319" s="180"/>
      <c r="DN319" s="180"/>
      <c r="DO319" s="180"/>
      <c r="DP319" s="180"/>
      <c r="DQ319" s="173"/>
      <c r="DR319" s="173"/>
      <c r="DS319" s="173"/>
      <c r="DT319" s="173"/>
      <c r="DU319" s="173"/>
      <c r="DV319" s="198"/>
    </row>
    <row r="320" spans="1:126" x14ac:dyDescent="0.2">
      <c r="A320" s="143" t="s">
        <v>683</v>
      </c>
      <c r="AJ320" s="133"/>
      <c r="AK320" s="133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33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33"/>
      <c r="CG320" s="176"/>
      <c r="CH320" s="199"/>
      <c r="CI320" s="200"/>
      <c r="CJ320" s="200"/>
      <c r="CK320" s="200"/>
      <c r="CL320" s="200"/>
      <c r="CM320" s="200"/>
      <c r="CN320" s="200"/>
      <c r="CO320" s="200"/>
      <c r="CP320" s="200"/>
      <c r="CQ320" s="201"/>
      <c r="CR320" s="202"/>
      <c r="CS320" s="200"/>
      <c r="CT320" s="200"/>
      <c r="CU320" s="200"/>
      <c r="CV320" s="203"/>
      <c r="CW320" s="203"/>
      <c r="CX320" s="203"/>
      <c r="CY320" s="203"/>
      <c r="CZ320" s="203"/>
      <c r="DA320" s="204"/>
      <c r="DC320" s="199"/>
      <c r="DD320" s="200"/>
      <c r="DE320" s="200"/>
      <c r="DF320" s="200"/>
      <c r="DG320" s="200"/>
      <c r="DH320" s="200"/>
      <c r="DI320" s="200"/>
      <c r="DJ320" s="200"/>
      <c r="DK320" s="200"/>
      <c r="DL320" s="200"/>
      <c r="DM320" s="200"/>
      <c r="DN320" s="200"/>
      <c r="DO320" s="200"/>
      <c r="DP320" s="200"/>
      <c r="DQ320" s="203"/>
      <c r="DR320" s="203"/>
      <c r="DS320" s="203"/>
      <c r="DT320" s="203"/>
      <c r="DU320" s="203"/>
      <c r="DV320" s="204"/>
    </row>
    <row r="321" spans="1:126" x14ac:dyDescent="0.2">
      <c r="A321" s="143" t="s">
        <v>684</v>
      </c>
      <c r="AJ321" s="133"/>
      <c r="AK321" s="133"/>
      <c r="AL321" s="183"/>
      <c r="AM321" s="183"/>
      <c r="AN321" s="183"/>
      <c r="AO321" s="183"/>
      <c r="AP321" s="183"/>
      <c r="AQ321" s="183"/>
      <c r="AR321" s="183"/>
      <c r="AS321" s="183"/>
      <c r="AT321" s="183"/>
      <c r="AU321" s="183"/>
      <c r="AV321" s="183"/>
      <c r="AW321" s="183"/>
      <c r="AX321" s="183"/>
      <c r="AY321" s="183"/>
      <c r="AZ321" s="183"/>
      <c r="BA321" s="183"/>
      <c r="BB321" s="183"/>
      <c r="BC321" s="183"/>
      <c r="BD321" s="183"/>
      <c r="BE321" s="183"/>
      <c r="BF321" s="133"/>
      <c r="CG321" s="176">
        <v>17</v>
      </c>
      <c r="CH321" s="192"/>
      <c r="CI321" s="193"/>
      <c r="CJ321" s="193"/>
      <c r="CK321" s="193"/>
      <c r="CL321" s="193"/>
      <c r="CM321" s="193"/>
      <c r="CN321" s="193"/>
      <c r="CO321" s="193"/>
      <c r="CP321" s="193"/>
      <c r="CQ321" s="193"/>
      <c r="CR321" s="193"/>
      <c r="CS321" s="193"/>
      <c r="CT321" s="193"/>
      <c r="CU321" s="193"/>
      <c r="CV321" s="194"/>
      <c r="CW321" s="194"/>
      <c r="CX321" s="194"/>
      <c r="CY321" s="194"/>
      <c r="CZ321" s="194"/>
      <c r="DA321" s="195"/>
      <c r="DC321" s="192"/>
      <c r="DD321" s="193"/>
      <c r="DE321" s="193"/>
      <c r="DF321" s="193"/>
      <c r="DG321" s="193"/>
      <c r="DH321" s="193"/>
      <c r="DI321" s="193"/>
      <c r="DJ321" s="193"/>
      <c r="DK321" s="193"/>
      <c r="DL321" s="193"/>
      <c r="DM321" s="193"/>
      <c r="DN321" s="193"/>
      <c r="DO321" s="193"/>
      <c r="DP321" s="193"/>
      <c r="DQ321" s="194"/>
      <c r="DR321" s="194"/>
      <c r="DS321" s="194"/>
      <c r="DT321" s="194"/>
      <c r="DU321" s="194"/>
      <c r="DV321" s="195"/>
    </row>
    <row r="322" spans="1:126" x14ac:dyDescent="0.2">
      <c r="A322" s="143" t="s">
        <v>685</v>
      </c>
      <c r="AJ322" s="133"/>
      <c r="AK322" s="133"/>
      <c r="AL322" s="183"/>
      <c r="AM322" s="183"/>
      <c r="AN322" s="183"/>
      <c r="AO322" s="183"/>
      <c r="AP322" s="183"/>
      <c r="AQ322" s="183"/>
      <c r="AR322" s="183"/>
      <c r="AS322" s="183"/>
      <c r="AT322" s="183"/>
      <c r="AU322" s="183"/>
      <c r="AV322" s="183"/>
      <c r="AW322" s="183"/>
      <c r="AX322" s="183"/>
      <c r="AY322" s="183"/>
      <c r="AZ322" s="183"/>
      <c r="BA322" s="183"/>
      <c r="BB322" s="183"/>
      <c r="BC322" s="183"/>
      <c r="BD322" s="183"/>
      <c r="BE322" s="183"/>
      <c r="BF322" s="133"/>
      <c r="CG322" s="176"/>
      <c r="CH322" s="169"/>
      <c r="CI322" s="177"/>
      <c r="CJ322" s="177"/>
      <c r="CK322" s="177"/>
      <c r="CL322" s="177"/>
      <c r="CM322" s="177"/>
      <c r="CN322" s="177"/>
      <c r="CO322" s="177"/>
      <c r="CP322" s="177"/>
      <c r="CQ322" s="177"/>
      <c r="CR322" s="177"/>
      <c r="CS322" s="177"/>
      <c r="CT322" s="177"/>
      <c r="CU322" s="177"/>
      <c r="CV322" s="172"/>
      <c r="CW322" s="172"/>
      <c r="CX322" s="172"/>
      <c r="CY322" s="172"/>
      <c r="CZ322" s="172"/>
      <c r="DA322" s="196"/>
      <c r="DC322" s="169"/>
      <c r="DD322" s="177"/>
      <c r="DE322" s="177"/>
      <c r="DF322" s="177"/>
      <c r="DG322" s="177"/>
      <c r="DH322" s="177"/>
      <c r="DI322" s="177"/>
      <c r="DJ322" s="177"/>
      <c r="DK322" s="177"/>
      <c r="DL322" s="177"/>
      <c r="DM322" s="177"/>
      <c r="DN322" s="177"/>
      <c r="DO322" s="177"/>
      <c r="DP322" s="177"/>
      <c r="DQ322" s="172"/>
      <c r="DR322" s="172"/>
      <c r="DS322" s="172"/>
      <c r="DT322" s="172"/>
      <c r="DU322" s="172"/>
      <c r="DV322" s="196"/>
    </row>
    <row r="323" spans="1:126" x14ac:dyDescent="0.2">
      <c r="A323" s="143" t="s">
        <v>686</v>
      </c>
      <c r="AJ323" s="133"/>
      <c r="AK323" s="133"/>
      <c r="AL323" s="183"/>
      <c r="AM323" s="183"/>
      <c r="AN323" s="183"/>
      <c r="AO323" s="183"/>
      <c r="AP323" s="183"/>
      <c r="AQ323" s="183"/>
      <c r="AR323" s="183"/>
      <c r="AS323" s="183"/>
      <c r="AT323" s="183"/>
      <c r="AU323" s="183"/>
      <c r="AV323" s="183"/>
      <c r="AW323" s="183"/>
      <c r="AX323" s="183"/>
      <c r="AY323" s="183"/>
      <c r="AZ323" s="183"/>
      <c r="BA323" s="183"/>
      <c r="BB323" s="183"/>
      <c r="BC323" s="183"/>
      <c r="BD323" s="183"/>
      <c r="BE323" s="183"/>
      <c r="BF323" s="133"/>
      <c r="CG323" s="131"/>
      <c r="CH323" s="169"/>
      <c r="CI323" s="177"/>
      <c r="CJ323" s="177"/>
      <c r="CK323" s="177"/>
      <c r="CL323" s="177"/>
      <c r="CM323" s="177"/>
      <c r="CN323" s="177"/>
      <c r="CO323" s="177"/>
      <c r="CP323" s="177"/>
      <c r="CQ323" s="177"/>
      <c r="CR323" s="177"/>
      <c r="CS323" s="177"/>
      <c r="CT323" s="177"/>
      <c r="CU323" s="177"/>
      <c r="CV323" s="172"/>
      <c r="CW323" s="172"/>
      <c r="CX323" s="172"/>
      <c r="CY323" s="172"/>
      <c r="CZ323" s="172"/>
      <c r="DA323" s="196"/>
      <c r="DC323" s="169"/>
      <c r="DD323" s="177"/>
      <c r="DE323" s="177"/>
      <c r="DF323" s="177"/>
      <c r="DG323" s="177"/>
      <c r="DH323" s="177"/>
      <c r="DI323" s="177"/>
      <c r="DJ323" s="177"/>
      <c r="DK323" s="177"/>
      <c r="DL323" s="177"/>
      <c r="DM323" s="177"/>
      <c r="DN323" s="177"/>
      <c r="DO323" s="177"/>
      <c r="DP323" s="177"/>
      <c r="DQ323" s="172"/>
      <c r="DR323" s="172"/>
      <c r="DS323" s="172"/>
      <c r="DT323" s="172"/>
      <c r="DU323" s="172"/>
      <c r="DV323" s="196"/>
    </row>
    <row r="324" spans="1:126" x14ac:dyDescent="0.2">
      <c r="A324" s="143" t="s">
        <v>687</v>
      </c>
      <c r="AJ324" s="133"/>
      <c r="AK324" s="133"/>
      <c r="AL324" s="183"/>
      <c r="AM324" s="183"/>
      <c r="AN324" s="183"/>
      <c r="AO324" s="183"/>
      <c r="AP324" s="183"/>
      <c r="AQ324" s="183"/>
      <c r="AR324" s="183"/>
      <c r="AS324" s="183"/>
      <c r="AT324" s="183"/>
      <c r="AU324" s="183"/>
      <c r="AV324" s="183"/>
      <c r="AW324" s="183"/>
      <c r="AX324" s="183"/>
      <c r="AY324" s="183"/>
      <c r="AZ324" s="183"/>
      <c r="BA324" s="183"/>
      <c r="BB324" s="183"/>
      <c r="BC324" s="183"/>
      <c r="BD324" s="183"/>
      <c r="BE324" s="183"/>
      <c r="BF324" s="133"/>
      <c r="CG324" s="176"/>
      <c r="CH324" s="169"/>
      <c r="CI324" s="177"/>
      <c r="CJ324" s="177"/>
      <c r="CK324" s="177"/>
      <c r="CL324" s="177"/>
      <c r="CM324" s="177"/>
      <c r="CN324" s="177"/>
      <c r="CO324" s="177"/>
      <c r="CP324" s="177"/>
      <c r="CQ324" s="177"/>
      <c r="CR324" s="177"/>
      <c r="CS324" s="177"/>
      <c r="CT324" s="177"/>
      <c r="CU324" s="177"/>
      <c r="CV324" s="172"/>
      <c r="CW324" s="172"/>
      <c r="CX324" s="172"/>
      <c r="CY324" s="172"/>
      <c r="CZ324" s="172"/>
      <c r="DA324" s="196"/>
      <c r="DC324" s="169"/>
      <c r="DD324" s="177"/>
      <c r="DE324" s="177"/>
      <c r="DF324" s="177"/>
      <c r="DG324" s="177"/>
      <c r="DH324" s="177"/>
      <c r="DI324" s="177"/>
      <c r="DJ324" s="177"/>
      <c r="DK324" s="177"/>
      <c r="DL324" s="177"/>
      <c r="DM324" s="177"/>
      <c r="DN324" s="177"/>
      <c r="DO324" s="177"/>
      <c r="DP324" s="177"/>
      <c r="DQ324" s="172"/>
      <c r="DR324" s="172"/>
      <c r="DS324" s="172"/>
      <c r="DT324" s="172"/>
      <c r="DU324" s="172"/>
      <c r="DV324" s="196"/>
    </row>
    <row r="325" spans="1:126" x14ac:dyDescent="0.2">
      <c r="A325" s="143" t="s">
        <v>688</v>
      </c>
      <c r="AJ325" s="133"/>
      <c r="AK325" s="133"/>
      <c r="AL325" s="183"/>
      <c r="AM325" s="183"/>
      <c r="AN325" s="183"/>
      <c r="AO325" s="183"/>
      <c r="AP325" s="183"/>
      <c r="AQ325" s="183"/>
      <c r="AR325" s="183"/>
      <c r="AS325" s="183"/>
      <c r="AT325" s="183"/>
      <c r="AU325" s="183"/>
      <c r="AV325" s="183"/>
      <c r="AW325" s="183"/>
      <c r="AX325" s="183"/>
      <c r="AY325" s="183"/>
      <c r="AZ325" s="183"/>
      <c r="BA325" s="183"/>
      <c r="BB325" s="183"/>
      <c r="BC325" s="183"/>
      <c r="BD325" s="183"/>
      <c r="BE325" s="183"/>
      <c r="BF325" s="133"/>
      <c r="CG325" s="178"/>
      <c r="CH325" s="169"/>
      <c r="CI325" s="177"/>
      <c r="CJ325" s="177"/>
      <c r="CK325" s="177"/>
      <c r="CL325" s="177"/>
      <c r="CM325" s="177"/>
      <c r="CN325" s="177"/>
      <c r="CO325" s="177"/>
      <c r="CP325" s="177"/>
      <c r="CQ325" s="177"/>
      <c r="CR325" s="177"/>
      <c r="CS325" s="177"/>
      <c r="CT325" s="177"/>
      <c r="CU325" s="177"/>
      <c r="CV325" s="172"/>
      <c r="CW325" s="172"/>
      <c r="CX325" s="172"/>
      <c r="CY325" s="172"/>
      <c r="CZ325" s="172"/>
      <c r="DA325" s="196"/>
      <c r="DC325" s="169"/>
      <c r="DD325" s="177"/>
      <c r="DE325" s="177"/>
      <c r="DF325" s="177"/>
      <c r="DG325" s="177"/>
      <c r="DH325" s="177"/>
      <c r="DI325" s="177"/>
      <c r="DJ325" s="177"/>
      <c r="DK325" s="177"/>
      <c r="DL325" s="177"/>
      <c r="DM325" s="177"/>
      <c r="DN325" s="177"/>
      <c r="DO325" s="177"/>
      <c r="DP325" s="177"/>
      <c r="DQ325" s="172"/>
      <c r="DR325" s="172"/>
      <c r="DS325" s="172"/>
      <c r="DT325" s="172"/>
      <c r="DU325" s="172"/>
      <c r="DV325" s="196"/>
    </row>
    <row r="326" spans="1:126" x14ac:dyDescent="0.2">
      <c r="A326" s="143" t="s">
        <v>689</v>
      </c>
      <c r="AJ326" s="133"/>
      <c r="AK326" s="133"/>
      <c r="AL326" s="183"/>
      <c r="AM326" s="183"/>
      <c r="AN326" s="183"/>
      <c r="AO326" s="183"/>
      <c r="AP326" s="183"/>
      <c r="AQ326" s="183"/>
      <c r="AR326" s="183"/>
      <c r="AS326" s="183"/>
      <c r="AT326" s="183"/>
      <c r="AU326" s="183"/>
      <c r="AV326" s="183"/>
      <c r="AW326" s="183"/>
      <c r="AX326" s="183"/>
      <c r="AY326" s="183"/>
      <c r="AZ326" s="183"/>
      <c r="BA326" s="183"/>
      <c r="BB326" s="183"/>
      <c r="BC326" s="183"/>
      <c r="BD326" s="183"/>
      <c r="BE326" s="183"/>
      <c r="BF326" s="133"/>
      <c r="CG326" s="179"/>
      <c r="CH326" s="169"/>
      <c r="CI326" s="177"/>
      <c r="CJ326" s="177"/>
      <c r="CK326" s="177"/>
      <c r="CL326" s="177"/>
      <c r="CM326" s="177"/>
      <c r="CN326" s="177"/>
      <c r="CO326" s="177"/>
      <c r="CP326" s="177"/>
      <c r="CQ326" s="177"/>
      <c r="CR326" s="177"/>
      <c r="CS326" s="177"/>
      <c r="CT326" s="177"/>
      <c r="CU326" s="177"/>
      <c r="CV326" s="172"/>
      <c r="CW326" s="172"/>
      <c r="CX326" s="172"/>
      <c r="CY326" s="172"/>
      <c r="CZ326" s="172"/>
      <c r="DA326" s="196"/>
      <c r="DC326" s="169"/>
      <c r="DD326" s="177"/>
      <c r="DE326" s="177"/>
      <c r="DF326" s="177"/>
      <c r="DG326" s="177"/>
      <c r="DH326" s="177"/>
      <c r="DI326" s="177"/>
      <c r="DJ326" s="177"/>
      <c r="DK326" s="177"/>
      <c r="DL326" s="177"/>
      <c r="DM326" s="177"/>
      <c r="DN326" s="177"/>
      <c r="DO326" s="177"/>
      <c r="DP326" s="177"/>
      <c r="DQ326" s="172"/>
      <c r="DR326" s="172"/>
      <c r="DS326" s="172"/>
      <c r="DT326" s="172"/>
      <c r="DU326" s="172"/>
      <c r="DV326" s="196"/>
    </row>
    <row r="327" spans="1:126" x14ac:dyDescent="0.2">
      <c r="A327" s="143" t="s">
        <v>690</v>
      </c>
      <c r="AJ327" s="133"/>
      <c r="AK327" s="133"/>
      <c r="AL327" s="183"/>
      <c r="AM327" s="183"/>
      <c r="AN327" s="183"/>
      <c r="AO327" s="183"/>
      <c r="AP327" s="183"/>
      <c r="AQ327" s="183"/>
      <c r="AR327" s="183"/>
      <c r="AS327" s="183"/>
      <c r="AT327" s="183"/>
      <c r="AU327" s="183"/>
      <c r="AV327" s="183"/>
      <c r="AW327" s="183"/>
      <c r="AX327" s="183"/>
      <c r="AY327" s="183"/>
      <c r="AZ327" s="183"/>
      <c r="BA327" s="183"/>
      <c r="BB327" s="183"/>
      <c r="BC327" s="183"/>
      <c r="BD327" s="183"/>
      <c r="BE327" s="183"/>
      <c r="BF327" s="133"/>
      <c r="CG327" s="179"/>
      <c r="CH327" s="169"/>
      <c r="CI327" s="177"/>
      <c r="CJ327" s="177"/>
      <c r="CK327" s="177"/>
      <c r="CL327" s="177"/>
      <c r="CM327" s="177"/>
      <c r="CN327" s="177"/>
      <c r="CO327" s="177"/>
      <c r="CP327" s="177"/>
      <c r="CQ327" s="177"/>
      <c r="CR327" s="177"/>
      <c r="CS327" s="177"/>
      <c r="CT327" s="177"/>
      <c r="CU327" s="177"/>
      <c r="CV327" s="172"/>
      <c r="CW327" s="172"/>
      <c r="CX327" s="172"/>
      <c r="CY327" s="172"/>
      <c r="CZ327" s="172"/>
      <c r="DA327" s="196"/>
      <c r="DC327" s="169"/>
      <c r="DD327" s="177"/>
      <c r="DE327" s="177"/>
      <c r="DF327" s="177"/>
      <c r="DG327" s="177"/>
      <c r="DH327" s="177"/>
      <c r="DI327" s="177"/>
      <c r="DJ327" s="177"/>
      <c r="DK327" s="177"/>
      <c r="DL327" s="177"/>
      <c r="DM327" s="177"/>
      <c r="DN327" s="177"/>
      <c r="DO327" s="177"/>
      <c r="DP327" s="177"/>
      <c r="DQ327" s="172"/>
      <c r="DR327" s="172"/>
      <c r="DS327" s="172"/>
      <c r="DT327" s="172"/>
      <c r="DU327" s="172"/>
      <c r="DV327" s="196"/>
    </row>
    <row r="328" spans="1:126" x14ac:dyDescent="0.2">
      <c r="A328" s="143" t="s">
        <v>691</v>
      </c>
      <c r="AJ328" s="133"/>
      <c r="AK328" s="133"/>
      <c r="AL328" s="183"/>
      <c r="AM328" s="183"/>
      <c r="AN328" s="183"/>
      <c r="AO328" s="183"/>
      <c r="AP328" s="183"/>
      <c r="AQ328" s="183"/>
      <c r="AR328" s="183"/>
      <c r="AS328" s="183"/>
      <c r="AT328" s="183"/>
      <c r="AU328" s="183"/>
      <c r="AV328" s="183"/>
      <c r="AW328" s="183"/>
      <c r="AX328" s="183"/>
      <c r="AY328" s="183"/>
      <c r="AZ328" s="183"/>
      <c r="BA328" s="183"/>
      <c r="BB328" s="183"/>
      <c r="BC328" s="183"/>
      <c r="BD328" s="183"/>
      <c r="BE328" s="183"/>
      <c r="BF328" s="133"/>
      <c r="CG328" s="179"/>
      <c r="CH328" s="169"/>
      <c r="CI328" s="177"/>
      <c r="CJ328" s="177"/>
      <c r="CK328" s="177"/>
      <c r="CL328" s="177"/>
      <c r="CM328" s="177"/>
      <c r="CN328" s="177"/>
      <c r="CO328" s="177"/>
      <c r="CP328" s="177"/>
      <c r="CQ328" s="177"/>
      <c r="CR328" s="177"/>
      <c r="CS328" s="177"/>
      <c r="CT328" s="177"/>
      <c r="CU328" s="177"/>
      <c r="CV328" s="172"/>
      <c r="CW328" s="172"/>
      <c r="CX328" s="172"/>
      <c r="CY328" s="172"/>
      <c r="CZ328" s="172"/>
      <c r="DA328" s="196"/>
      <c r="DC328" s="169"/>
      <c r="DD328" s="177"/>
      <c r="DE328" s="177"/>
      <c r="DF328" s="177"/>
      <c r="DG328" s="177"/>
      <c r="DH328" s="177"/>
      <c r="DI328" s="177"/>
      <c r="DJ328" s="177"/>
      <c r="DK328" s="177"/>
      <c r="DL328" s="177"/>
      <c r="DM328" s="177"/>
      <c r="DN328" s="177"/>
      <c r="DO328" s="177"/>
      <c r="DP328" s="177"/>
      <c r="DQ328" s="172"/>
      <c r="DR328" s="172"/>
      <c r="DS328" s="172"/>
      <c r="DT328" s="172"/>
      <c r="DU328" s="172"/>
      <c r="DV328" s="196"/>
    </row>
    <row r="329" spans="1:126" x14ac:dyDescent="0.2">
      <c r="A329" s="143" t="s">
        <v>692</v>
      </c>
      <c r="AJ329" s="133"/>
      <c r="AK329" s="133"/>
      <c r="AL329" s="183"/>
      <c r="AM329" s="183"/>
      <c r="AN329" s="183"/>
      <c r="AO329" s="183"/>
      <c r="AP329" s="183"/>
      <c r="AQ329" s="183"/>
      <c r="AR329" s="183"/>
      <c r="AS329" s="183"/>
      <c r="AT329" s="183"/>
      <c r="AU329" s="183"/>
      <c r="AV329" s="183"/>
      <c r="AW329" s="183"/>
      <c r="AX329" s="183"/>
      <c r="AY329" s="183"/>
      <c r="AZ329" s="183"/>
      <c r="BA329" s="183"/>
      <c r="BB329" s="183"/>
      <c r="BC329" s="183"/>
      <c r="BD329" s="183"/>
      <c r="BE329" s="183"/>
      <c r="BF329" s="133"/>
      <c r="CG329" s="179"/>
      <c r="CH329" s="169"/>
      <c r="CI329" s="177"/>
      <c r="CJ329" s="177"/>
      <c r="CK329" s="177"/>
      <c r="CL329" s="177"/>
      <c r="CM329" s="177"/>
      <c r="CN329" s="177"/>
      <c r="CO329" s="177"/>
      <c r="CP329" s="177"/>
      <c r="CQ329" s="177"/>
      <c r="CR329" s="177"/>
      <c r="CS329" s="177"/>
      <c r="CT329" s="177"/>
      <c r="CU329" s="177"/>
      <c r="CV329" s="172"/>
      <c r="CW329" s="172"/>
      <c r="CX329" s="172"/>
      <c r="CY329" s="172"/>
      <c r="CZ329" s="172"/>
      <c r="DA329" s="196"/>
      <c r="DC329" s="169"/>
      <c r="DD329" s="177"/>
      <c r="DE329" s="177"/>
      <c r="DF329" s="177"/>
      <c r="DG329" s="177"/>
      <c r="DH329" s="177"/>
      <c r="DI329" s="177"/>
      <c r="DJ329" s="177"/>
      <c r="DK329" s="177"/>
      <c r="DL329" s="177"/>
      <c r="DM329" s="177"/>
      <c r="DN329" s="177"/>
      <c r="DO329" s="177"/>
      <c r="DP329" s="177"/>
      <c r="DQ329" s="172"/>
      <c r="DR329" s="172"/>
      <c r="DS329" s="172"/>
      <c r="DT329" s="172"/>
      <c r="DU329" s="172"/>
      <c r="DV329" s="196"/>
    </row>
    <row r="330" spans="1:126" x14ac:dyDescent="0.2">
      <c r="A330" s="143" t="s">
        <v>693</v>
      </c>
      <c r="AJ330" s="133"/>
      <c r="AK330" s="133"/>
      <c r="AL330" s="183"/>
      <c r="AM330" s="183"/>
      <c r="AN330" s="183"/>
      <c r="AO330" s="183"/>
      <c r="AP330" s="183"/>
      <c r="AQ330" s="183"/>
      <c r="AR330" s="183"/>
      <c r="AS330" s="183"/>
      <c r="AT330" s="183"/>
      <c r="AU330" s="183"/>
      <c r="AV330" s="183"/>
      <c r="AW330" s="183"/>
      <c r="AX330" s="183"/>
      <c r="AY330" s="183"/>
      <c r="AZ330" s="183"/>
      <c r="BA330" s="183"/>
      <c r="BB330" s="183"/>
      <c r="BC330" s="183"/>
      <c r="BD330" s="183"/>
      <c r="BE330" s="183"/>
      <c r="BF330" s="133"/>
      <c r="CG330" s="179"/>
      <c r="CH330" s="169"/>
      <c r="CI330" s="177"/>
      <c r="CJ330" s="177"/>
      <c r="CK330" s="177"/>
      <c r="CL330" s="177"/>
      <c r="CM330" s="177"/>
      <c r="CN330" s="177"/>
      <c r="CO330" s="177"/>
      <c r="CP330" s="177"/>
      <c r="CQ330" s="177"/>
      <c r="CR330" s="177"/>
      <c r="CS330" s="177"/>
      <c r="CT330" s="177"/>
      <c r="CU330" s="177"/>
      <c r="CV330" s="172"/>
      <c r="CW330" s="172"/>
      <c r="CX330" s="172"/>
      <c r="CY330" s="172"/>
      <c r="CZ330" s="172"/>
      <c r="DA330" s="196"/>
      <c r="DC330" s="169"/>
      <c r="DD330" s="177"/>
      <c r="DE330" s="177"/>
      <c r="DF330" s="177"/>
      <c r="DG330" s="177"/>
      <c r="DH330" s="177"/>
      <c r="DI330" s="177"/>
      <c r="DJ330" s="177"/>
      <c r="DK330" s="177"/>
      <c r="DL330" s="177"/>
      <c r="DM330" s="177"/>
      <c r="DN330" s="177"/>
      <c r="DO330" s="177"/>
      <c r="DP330" s="177"/>
      <c r="DQ330" s="172"/>
      <c r="DR330" s="172"/>
      <c r="DS330" s="172"/>
      <c r="DT330" s="172"/>
      <c r="DU330" s="172"/>
      <c r="DV330" s="196"/>
    </row>
    <row r="331" spans="1:126" x14ac:dyDescent="0.2">
      <c r="A331" s="143" t="s">
        <v>694</v>
      </c>
      <c r="AJ331" s="133"/>
      <c r="AK331" s="133"/>
      <c r="AL331" s="183"/>
      <c r="AM331" s="183"/>
      <c r="AN331" s="183"/>
      <c r="AO331" s="183"/>
      <c r="AP331" s="183"/>
      <c r="AQ331" s="183"/>
      <c r="AR331" s="183"/>
      <c r="AS331" s="183"/>
      <c r="AT331" s="183"/>
      <c r="AU331" s="183"/>
      <c r="AV331" s="183"/>
      <c r="AW331" s="183"/>
      <c r="AX331" s="183"/>
      <c r="AY331" s="183"/>
      <c r="AZ331" s="183"/>
      <c r="BA331" s="183"/>
      <c r="BB331" s="183"/>
      <c r="BC331" s="183"/>
      <c r="BD331" s="183"/>
      <c r="BE331" s="183"/>
      <c r="BF331" s="133"/>
      <c r="CG331" s="179"/>
      <c r="CH331" s="169"/>
      <c r="CI331" s="177"/>
      <c r="CJ331" s="177"/>
      <c r="CK331" s="177"/>
      <c r="CL331" s="177"/>
      <c r="CM331" s="177"/>
      <c r="CN331" s="177"/>
      <c r="CO331" s="177"/>
      <c r="CP331" s="177"/>
      <c r="CQ331" s="177"/>
      <c r="CR331" s="177"/>
      <c r="CS331" s="177"/>
      <c r="CT331" s="177"/>
      <c r="CU331" s="177"/>
      <c r="CV331" s="172"/>
      <c r="CW331" s="172"/>
      <c r="CX331" s="172"/>
      <c r="CY331" s="172"/>
      <c r="CZ331" s="172"/>
      <c r="DA331" s="196"/>
      <c r="DC331" s="169"/>
      <c r="DD331" s="177"/>
      <c r="DE331" s="177"/>
      <c r="DF331" s="177"/>
      <c r="DG331" s="177"/>
      <c r="DH331" s="177"/>
      <c r="DI331" s="177"/>
      <c r="DJ331" s="177"/>
      <c r="DK331" s="177"/>
      <c r="DL331" s="177"/>
      <c r="DM331" s="177"/>
      <c r="DN331" s="177"/>
      <c r="DO331" s="177"/>
      <c r="DP331" s="177"/>
      <c r="DQ331" s="172"/>
      <c r="DR331" s="172"/>
      <c r="DS331" s="172"/>
      <c r="DT331" s="172"/>
      <c r="DU331" s="172"/>
      <c r="DV331" s="196"/>
    </row>
    <row r="332" spans="1:126" x14ac:dyDescent="0.2">
      <c r="A332" s="143" t="s">
        <v>695</v>
      </c>
      <c r="AJ332" s="133"/>
      <c r="AK332" s="133"/>
      <c r="AL332" s="183"/>
      <c r="AM332" s="183"/>
      <c r="AN332" s="183"/>
      <c r="AO332" s="183"/>
      <c r="AP332" s="183"/>
      <c r="AQ332" s="183"/>
      <c r="AR332" s="183"/>
      <c r="AS332" s="183"/>
      <c r="AT332" s="183"/>
      <c r="AU332" s="183"/>
      <c r="AV332" s="183"/>
      <c r="AW332" s="183"/>
      <c r="AX332" s="183"/>
      <c r="AY332" s="183"/>
      <c r="AZ332" s="183"/>
      <c r="BA332" s="183"/>
      <c r="BB332" s="183"/>
      <c r="BC332" s="183"/>
      <c r="BD332" s="183"/>
      <c r="BE332" s="183"/>
      <c r="BF332" s="133"/>
      <c r="CG332" s="179"/>
      <c r="CH332" s="169"/>
      <c r="CI332" s="177"/>
      <c r="CJ332" s="177"/>
      <c r="CK332" s="177"/>
      <c r="CL332" s="177"/>
      <c r="CM332" s="177"/>
      <c r="CN332" s="177"/>
      <c r="CO332" s="177"/>
      <c r="CP332" s="177"/>
      <c r="CQ332" s="177"/>
      <c r="CR332" s="177"/>
      <c r="CS332" s="177"/>
      <c r="CT332" s="177"/>
      <c r="CU332" s="177"/>
      <c r="CV332" s="172"/>
      <c r="CW332" s="172"/>
      <c r="CX332" s="172"/>
      <c r="CY332" s="172"/>
      <c r="CZ332" s="172"/>
      <c r="DA332" s="196"/>
      <c r="DC332" s="169"/>
      <c r="DD332" s="177"/>
      <c r="DE332" s="177"/>
      <c r="DF332" s="177"/>
      <c r="DG332" s="177"/>
      <c r="DH332" s="177"/>
      <c r="DI332" s="177"/>
      <c r="DJ332" s="177"/>
      <c r="DK332" s="177"/>
      <c r="DL332" s="177"/>
      <c r="DM332" s="177"/>
      <c r="DN332" s="177"/>
      <c r="DO332" s="177"/>
      <c r="DP332" s="177"/>
      <c r="DQ332" s="172"/>
      <c r="DR332" s="172"/>
      <c r="DS332" s="172"/>
      <c r="DT332" s="172"/>
      <c r="DU332" s="172"/>
      <c r="DV332" s="196"/>
    </row>
    <row r="333" spans="1:126" x14ac:dyDescent="0.2">
      <c r="A333" s="143" t="s">
        <v>696</v>
      </c>
      <c r="AJ333" s="133"/>
      <c r="AK333" s="133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33"/>
      <c r="CG333" s="179"/>
      <c r="CH333" s="197"/>
      <c r="CI333" s="180"/>
      <c r="CJ333" s="180"/>
      <c r="CK333" s="180"/>
      <c r="CL333" s="180"/>
      <c r="CM333" s="180"/>
      <c r="CN333" s="180"/>
      <c r="CO333" s="180"/>
      <c r="CP333" s="180"/>
      <c r="CQ333" s="180"/>
      <c r="CR333" s="180"/>
      <c r="CS333" s="180"/>
      <c r="CT333" s="180"/>
      <c r="CU333" s="180"/>
      <c r="CV333" s="173"/>
      <c r="CW333" s="173"/>
      <c r="CX333" s="173"/>
      <c r="CY333" s="173"/>
      <c r="CZ333" s="173"/>
      <c r="DA333" s="198"/>
      <c r="DC333" s="197"/>
      <c r="DD333" s="180"/>
      <c r="DE333" s="180"/>
      <c r="DF333" s="180"/>
      <c r="DG333" s="180"/>
      <c r="DH333" s="180"/>
      <c r="DI333" s="180"/>
      <c r="DJ333" s="180"/>
      <c r="DK333" s="180"/>
      <c r="DL333" s="180"/>
      <c r="DM333" s="180"/>
      <c r="DN333" s="180"/>
      <c r="DO333" s="180"/>
      <c r="DP333" s="180"/>
      <c r="DQ333" s="173"/>
      <c r="DR333" s="173"/>
      <c r="DS333" s="173"/>
      <c r="DT333" s="173"/>
      <c r="DU333" s="173"/>
      <c r="DV333" s="198"/>
    </row>
    <row r="334" spans="1:126" x14ac:dyDescent="0.2">
      <c r="A334" s="143" t="s">
        <v>697</v>
      </c>
      <c r="AJ334" s="133"/>
      <c r="AK334" s="133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33"/>
      <c r="CG334" s="179"/>
      <c r="CH334" s="197"/>
      <c r="CI334" s="180"/>
      <c r="CJ334" s="180"/>
      <c r="CK334" s="180"/>
      <c r="CL334" s="180"/>
      <c r="CM334" s="180"/>
      <c r="CN334" s="180"/>
      <c r="CO334" s="180"/>
      <c r="CP334" s="180"/>
      <c r="CQ334" s="180"/>
      <c r="CR334" s="180"/>
      <c r="CS334" s="180"/>
      <c r="CT334" s="180"/>
      <c r="CU334" s="180"/>
      <c r="CV334" s="173"/>
      <c r="CW334" s="173"/>
      <c r="CX334" s="173"/>
      <c r="CY334" s="173"/>
      <c r="CZ334" s="173"/>
      <c r="DA334" s="198"/>
      <c r="DC334" s="197"/>
      <c r="DD334" s="180"/>
      <c r="DE334" s="180"/>
      <c r="DF334" s="180"/>
      <c r="DG334" s="180"/>
      <c r="DH334" s="180"/>
      <c r="DI334" s="180"/>
      <c r="DJ334" s="180"/>
      <c r="DK334" s="180"/>
      <c r="DL334" s="180"/>
      <c r="DM334" s="180"/>
      <c r="DN334" s="180"/>
      <c r="DO334" s="180"/>
      <c r="DP334" s="180"/>
      <c r="DQ334" s="173"/>
      <c r="DR334" s="173"/>
      <c r="DS334" s="173"/>
      <c r="DT334" s="173"/>
      <c r="DU334" s="173"/>
      <c r="DV334" s="198"/>
    </row>
    <row r="335" spans="1:126" x14ac:dyDescent="0.2">
      <c r="A335" s="143" t="s">
        <v>698</v>
      </c>
      <c r="AJ335" s="133"/>
      <c r="AK335" s="133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33"/>
      <c r="CG335" s="179"/>
      <c r="CH335" s="197"/>
      <c r="CI335" s="180"/>
      <c r="CJ335" s="180"/>
      <c r="CK335" s="180"/>
      <c r="CL335" s="180"/>
      <c r="CM335" s="180"/>
      <c r="CN335" s="180"/>
      <c r="CO335" s="180"/>
      <c r="CP335" s="180"/>
      <c r="CQ335" s="180"/>
      <c r="CR335" s="180"/>
      <c r="CS335" s="180"/>
      <c r="CT335" s="180"/>
      <c r="CU335" s="180"/>
      <c r="CV335" s="173"/>
      <c r="CW335" s="173"/>
      <c r="CX335" s="173"/>
      <c r="CY335" s="173"/>
      <c r="CZ335" s="173"/>
      <c r="DA335" s="198"/>
      <c r="DC335" s="197"/>
      <c r="DD335" s="180"/>
      <c r="DE335" s="180"/>
      <c r="DF335" s="180"/>
      <c r="DG335" s="180"/>
      <c r="DH335" s="180"/>
      <c r="DI335" s="180"/>
      <c r="DJ335" s="180"/>
      <c r="DK335" s="180"/>
      <c r="DL335" s="180"/>
      <c r="DM335" s="180"/>
      <c r="DN335" s="180"/>
      <c r="DO335" s="180"/>
      <c r="DP335" s="180"/>
      <c r="DQ335" s="173"/>
      <c r="DR335" s="173"/>
      <c r="DS335" s="173"/>
      <c r="DT335" s="173"/>
      <c r="DU335" s="173"/>
      <c r="DV335" s="198"/>
    </row>
    <row r="336" spans="1:126" x14ac:dyDescent="0.2">
      <c r="A336" s="143" t="s">
        <v>699</v>
      </c>
      <c r="AJ336" s="133"/>
      <c r="AK336" s="133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33"/>
      <c r="CG336" s="179"/>
      <c r="CH336" s="197"/>
      <c r="CI336" s="180"/>
      <c r="CJ336" s="180"/>
      <c r="CK336" s="180"/>
      <c r="CL336" s="180"/>
      <c r="CM336" s="180"/>
      <c r="CN336" s="180"/>
      <c r="CO336" s="180"/>
      <c r="CP336" s="180"/>
      <c r="CQ336" s="180"/>
      <c r="CR336" s="180"/>
      <c r="CS336" s="180"/>
      <c r="CT336" s="180"/>
      <c r="CU336" s="180"/>
      <c r="CV336" s="173"/>
      <c r="CW336" s="173"/>
      <c r="CX336" s="173"/>
      <c r="CY336" s="173"/>
      <c r="CZ336" s="173"/>
      <c r="DA336" s="198"/>
      <c r="DC336" s="197"/>
      <c r="DD336" s="180"/>
      <c r="DE336" s="180"/>
      <c r="DF336" s="180"/>
      <c r="DG336" s="180"/>
      <c r="DH336" s="180"/>
      <c r="DI336" s="180"/>
      <c r="DJ336" s="180"/>
      <c r="DK336" s="180"/>
      <c r="DL336" s="180"/>
      <c r="DM336" s="180"/>
      <c r="DN336" s="180"/>
      <c r="DO336" s="180"/>
      <c r="DP336" s="180"/>
      <c r="DQ336" s="173"/>
      <c r="DR336" s="173"/>
      <c r="DS336" s="173"/>
      <c r="DT336" s="173"/>
      <c r="DU336" s="173"/>
      <c r="DV336" s="198"/>
    </row>
    <row r="337" spans="1:126" x14ac:dyDescent="0.2">
      <c r="A337" s="144" t="s">
        <v>700</v>
      </c>
      <c r="AJ337" s="133"/>
      <c r="AK337" s="133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33"/>
      <c r="CG337" s="179"/>
      <c r="CH337" s="197"/>
      <c r="CI337" s="180"/>
      <c r="CJ337" s="180"/>
      <c r="CK337" s="180"/>
      <c r="CL337" s="180"/>
      <c r="CM337" s="180"/>
      <c r="CN337" s="180"/>
      <c r="CO337" s="180"/>
      <c r="CP337" s="180"/>
      <c r="CQ337" s="180"/>
      <c r="CR337" s="180"/>
      <c r="CS337" s="180"/>
      <c r="CT337" s="180"/>
      <c r="CU337" s="180"/>
      <c r="CV337" s="173"/>
      <c r="CW337" s="173"/>
      <c r="CX337" s="173"/>
      <c r="CY337" s="173"/>
      <c r="CZ337" s="173"/>
      <c r="DA337" s="198"/>
      <c r="DC337" s="197"/>
      <c r="DD337" s="180"/>
      <c r="DE337" s="180"/>
      <c r="DF337" s="180"/>
      <c r="DG337" s="180"/>
      <c r="DH337" s="180"/>
      <c r="DI337" s="180"/>
      <c r="DJ337" s="180"/>
      <c r="DK337" s="180"/>
      <c r="DL337" s="180"/>
      <c r="DM337" s="180"/>
      <c r="DN337" s="180"/>
      <c r="DO337" s="180"/>
      <c r="DP337" s="180"/>
      <c r="DQ337" s="173"/>
      <c r="DR337" s="173"/>
      <c r="DS337" s="173"/>
      <c r="DT337" s="173"/>
      <c r="DU337" s="173"/>
      <c r="DV337" s="198"/>
    </row>
    <row r="338" spans="1:126" x14ac:dyDescent="0.2">
      <c r="A338" s="142" t="s">
        <v>701</v>
      </c>
      <c r="AJ338" s="133"/>
      <c r="AK338" s="133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33"/>
      <c r="CG338" s="176"/>
      <c r="CH338" s="197"/>
      <c r="CI338" s="180"/>
      <c r="CJ338" s="180"/>
      <c r="CK338" s="180"/>
      <c r="CL338" s="180"/>
      <c r="CM338" s="180"/>
      <c r="CN338" s="180"/>
      <c r="CO338" s="180"/>
      <c r="CP338" s="180"/>
      <c r="CQ338" s="180"/>
      <c r="CR338" s="180"/>
      <c r="CS338" s="180"/>
      <c r="CT338" s="180"/>
      <c r="CU338" s="180"/>
      <c r="CV338" s="173"/>
      <c r="CW338" s="173"/>
      <c r="CX338" s="173"/>
      <c r="CY338" s="173"/>
      <c r="CZ338" s="173"/>
      <c r="DA338" s="198"/>
      <c r="DC338" s="197"/>
      <c r="DD338" s="180"/>
      <c r="DE338" s="180"/>
      <c r="DF338" s="180"/>
      <c r="DG338" s="180"/>
      <c r="DH338" s="180"/>
      <c r="DI338" s="180"/>
      <c r="DJ338" s="180"/>
      <c r="DK338" s="180"/>
      <c r="DL338" s="180"/>
      <c r="DM338" s="180"/>
      <c r="DN338" s="180"/>
      <c r="DO338" s="180"/>
      <c r="DP338" s="180"/>
      <c r="DQ338" s="173"/>
      <c r="DR338" s="173"/>
      <c r="DS338" s="173"/>
      <c r="DT338" s="173"/>
      <c r="DU338" s="173"/>
      <c r="DV338" s="198"/>
    </row>
    <row r="339" spans="1:126" x14ac:dyDescent="0.2">
      <c r="A339" s="143" t="s">
        <v>702</v>
      </c>
      <c r="AJ339" s="133"/>
      <c r="AK339" s="133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33"/>
      <c r="CG339" s="176"/>
      <c r="CH339" s="197"/>
      <c r="CI339" s="180"/>
      <c r="CJ339" s="180"/>
      <c r="CK339" s="180"/>
      <c r="CL339" s="180"/>
      <c r="CM339" s="180"/>
      <c r="CN339" s="180"/>
      <c r="CO339" s="180"/>
      <c r="CP339" s="180"/>
      <c r="CQ339" s="180"/>
      <c r="CR339" s="180"/>
      <c r="CS339" s="180"/>
      <c r="CT339" s="180"/>
      <c r="CU339" s="180"/>
      <c r="CV339" s="173"/>
      <c r="CW339" s="173"/>
      <c r="CX339" s="173"/>
      <c r="CY339" s="173"/>
      <c r="CZ339" s="173"/>
      <c r="DA339" s="198"/>
      <c r="DC339" s="197"/>
      <c r="DD339" s="180"/>
      <c r="DE339" s="180"/>
      <c r="DF339" s="180"/>
      <c r="DG339" s="180"/>
      <c r="DH339" s="180"/>
      <c r="DI339" s="180"/>
      <c r="DJ339" s="180"/>
      <c r="DK339" s="180"/>
      <c r="DL339" s="180"/>
      <c r="DM339" s="180"/>
      <c r="DN339" s="180"/>
      <c r="DO339" s="180"/>
      <c r="DP339" s="180"/>
      <c r="DQ339" s="173"/>
      <c r="DR339" s="173"/>
      <c r="DS339" s="173"/>
      <c r="DT339" s="173"/>
      <c r="DU339" s="173"/>
      <c r="DV339" s="198"/>
    </row>
    <row r="340" spans="1:126" x14ac:dyDescent="0.2">
      <c r="A340" s="143" t="s">
        <v>703</v>
      </c>
      <c r="AJ340" s="133"/>
      <c r="AK340" s="133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33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33"/>
      <c r="CG340" s="176"/>
      <c r="CH340" s="199"/>
      <c r="CI340" s="200"/>
      <c r="CJ340" s="200"/>
      <c r="CK340" s="200"/>
      <c r="CL340" s="200"/>
      <c r="CM340" s="200"/>
      <c r="CN340" s="200"/>
      <c r="CO340" s="200"/>
      <c r="CP340" s="200"/>
      <c r="CQ340" s="201"/>
      <c r="CR340" s="202"/>
      <c r="CS340" s="200"/>
      <c r="CT340" s="200"/>
      <c r="CU340" s="200"/>
      <c r="CV340" s="203"/>
      <c r="CW340" s="203"/>
      <c r="CX340" s="203"/>
      <c r="CY340" s="203"/>
      <c r="CZ340" s="203"/>
      <c r="DA340" s="204"/>
      <c r="DC340" s="199"/>
      <c r="DD340" s="200"/>
      <c r="DE340" s="200"/>
      <c r="DF340" s="200"/>
      <c r="DG340" s="200"/>
      <c r="DH340" s="200"/>
      <c r="DI340" s="200"/>
      <c r="DJ340" s="200"/>
      <c r="DK340" s="200"/>
      <c r="DL340" s="200"/>
      <c r="DM340" s="200"/>
      <c r="DN340" s="200"/>
      <c r="DO340" s="200"/>
      <c r="DP340" s="200"/>
      <c r="DQ340" s="203"/>
      <c r="DR340" s="203"/>
      <c r="DS340" s="203"/>
      <c r="DT340" s="203"/>
      <c r="DU340" s="203"/>
      <c r="DV340" s="204"/>
    </row>
    <row r="341" spans="1:126" x14ac:dyDescent="0.2">
      <c r="A341" s="143" t="s">
        <v>704</v>
      </c>
      <c r="AJ341" s="133"/>
      <c r="AK341" s="133"/>
      <c r="AL341" s="183"/>
      <c r="AM341" s="183"/>
      <c r="AN341" s="183"/>
      <c r="AO341" s="183"/>
      <c r="AP341" s="183"/>
      <c r="AQ341" s="183"/>
      <c r="AR341" s="183"/>
      <c r="AS341" s="183"/>
      <c r="AT341" s="183"/>
      <c r="AU341" s="183"/>
      <c r="AV341" s="183"/>
      <c r="AW341" s="183"/>
      <c r="AX341" s="183"/>
      <c r="AY341" s="183"/>
      <c r="AZ341" s="183"/>
      <c r="BA341" s="183"/>
      <c r="BB341" s="183"/>
      <c r="BC341" s="183"/>
      <c r="BD341" s="183"/>
      <c r="BE341" s="183"/>
      <c r="BF341" s="133"/>
      <c r="CG341" s="176">
        <v>18</v>
      </c>
      <c r="CH341" s="192"/>
      <c r="CI341" s="193"/>
      <c r="CJ341" s="193"/>
      <c r="CK341" s="193"/>
      <c r="CL341" s="193"/>
      <c r="CM341" s="193"/>
      <c r="CN341" s="193"/>
      <c r="CO341" s="193"/>
      <c r="CP341" s="193"/>
      <c r="CQ341" s="193"/>
      <c r="CR341" s="193"/>
      <c r="CS341" s="193"/>
      <c r="CT341" s="193"/>
      <c r="CU341" s="193"/>
      <c r="CV341" s="194"/>
      <c r="CW341" s="194"/>
      <c r="CX341" s="194"/>
      <c r="CY341" s="194"/>
      <c r="CZ341" s="194"/>
      <c r="DA341" s="195"/>
      <c r="DC341" s="192"/>
      <c r="DD341" s="193"/>
      <c r="DE341" s="193"/>
      <c r="DF341" s="193"/>
      <c r="DG341" s="193"/>
      <c r="DH341" s="193"/>
      <c r="DI341" s="193"/>
      <c r="DJ341" s="193"/>
      <c r="DK341" s="193"/>
      <c r="DL341" s="193"/>
      <c r="DM341" s="193"/>
      <c r="DN341" s="193"/>
      <c r="DO341" s="193"/>
      <c r="DP341" s="193"/>
      <c r="DQ341" s="194"/>
      <c r="DR341" s="194"/>
      <c r="DS341" s="194"/>
      <c r="DT341" s="194"/>
      <c r="DU341" s="194"/>
      <c r="DV341" s="195"/>
    </row>
    <row r="342" spans="1:126" x14ac:dyDescent="0.2">
      <c r="A342" s="143" t="s">
        <v>705</v>
      </c>
      <c r="AJ342" s="133"/>
      <c r="AK342" s="133"/>
      <c r="AL342" s="183"/>
      <c r="AM342" s="183"/>
      <c r="AN342" s="183"/>
      <c r="AO342" s="183"/>
      <c r="AP342" s="183"/>
      <c r="AQ342" s="183"/>
      <c r="AR342" s="183"/>
      <c r="AS342" s="183"/>
      <c r="AT342" s="183"/>
      <c r="AU342" s="183"/>
      <c r="AV342" s="183"/>
      <c r="AW342" s="183"/>
      <c r="AX342" s="183"/>
      <c r="AY342" s="183"/>
      <c r="AZ342" s="183"/>
      <c r="BA342" s="183"/>
      <c r="BB342" s="183"/>
      <c r="BC342" s="183"/>
      <c r="BD342" s="183"/>
      <c r="BE342" s="183"/>
      <c r="BF342" s="133"/>
      <c r="CG342" s="176"/>
      <c r="CH342" s="169"/>
      <c r="CI342" s="177"/>
      <c r="CJ342" s="177"/>
      <c r="CK342" s="177"/>
      <c r="CL342" s="177"/>
      <c r="CM342" s="177"/>
      <c r="CN342" s="177"/>
      <c r="CO342" s="177"/>
      <c r="CP342" s="177"/>
      <c r="CQ342" s="177"/>
      <c r="CR342" s="177"/>
      <c r="CS342" s="177"/>
      <c r="CT342" s="177"/>
      <c r="CU342" s="177"/>
      <c r="CV342" s="172"/>
      <c r="CW342" s="172"/>
      <c r="CX342" s="172"/>
      <c r="CY342" s="172"/>
      <c r="CZ342" s="172"/>
      <c r="DA342" s="196"/>
      <c r="DC342" s="169"/>
      <c r="DD342" s="177"/>
      <c r="DE342" s="177"/>
      <c r="DF342" s="177"/>
      <c r="DG342" s="177"/>
      <c r="DH342" s="177"/>
      <c r="DI342" s="177"/>
      <c r="DJ342" s="177"/>
      <c r="DK342" s="177"/>
      <c r="DL342" s="177"/>
      <c r="DM342" s="177"/>
      <c r="DN342" s="177"/>
      <c r="DO342" s="177"/>
      <c r="DP342" s="177"/>
      <c r="DQ342" s="172"/>
      <c r="DR342" s="172"/>
      <c r="DS342" s="172"/>
      <c r="DT342" s="172"/>
      <c r="DU342" s="172"/>
      <c r="DV342" s="196"/>
    </row>
    <row r="343" spans="1:126" x14ac:dyDescent="0.2">
      <c r="A343" s="143" t="s">
        <v>706</v>
      </c>
      <c r="AJ343" s="133"/>
      <c r="AK343" s="133"/>
      <c r="AL343" s="183"/>
      <c r="AM343" s="183"/>
      <c r="AN343" s="183"/>
      <c r="AO343" s="183"/>
      <c r="AP343" s="183"/>
      <c r="AQ343" s="183"/>
      <c r="AR343" s="183"/>
      <c r="AS343" s="183"/>
      <c r="AT343" s="183"/>
      <c r="AU343" s="183"/>
      <c r="AV343" s="183"/>
      <c r="AW343" s="183"/>
      <c r="AX343" s="183"/>
      <c r="AY343" s="183"/>
      <c r="AZ343" s="183"/>
      <c r="BA343" s="183"/>
      <c r="BB343" s="183"/>
      <c r="BC343" s="183"/>
      <c r="BD343" s="183"/>
      <c r="BE343" s="183"/>
      <c r="BF343" s="133"/>
      <c r="CG343" s="131"/>
      <c r="CH343" s="169"/>
      <c r="CI343" s="177"/>
      <c r="CJ343" s="177"/>
      <c r="CK343" s="177"/>
      <c r="CL343" s="177"/>
      <c r="CM343" s="177"/>
      <c r="CN343" s="177"/>
      <c r="CO343" s="177"/>
      <c r="CP343" s="177"/>
      <c r="CQ343" s="177"/>
      <c r="CR343" s="177"/>
      <c r="CS343" s="177"/>
      <c r="CT343" s="177"/>
      <c r="CU343" s="177"/>
      <c r="CV343" s="172"/>
      <c r="CW343" s="172"/>
      <c r="CX343" s="172"/>
      <c r="CY343" s="172"/>
      <c r="CZ343" s="172"/>
      <c r="DA343" s="196"/>
      <c r="DC343" s="169"/>
      <c r="DD343" s="177"/>
      <c r="DE343" s="177"/>
      <c r="DF343" s="177"/>
      <c r="DG343" s="177"/>
      <c r="DH343" s="177"/>
      <c r="DI343" s="177"/>
      <c r="DJ343" s="177"/>
      <c r="DK343" s="177"/>
      <c r="DL343" s="177"/>
      <c r="DM343" s="177"/>
      <c r="DN343" s="177"/>
      <c r="DO343" s="177"/>
      <c r="DP343" s="177"/>
      <c r="DQ343" s="172"/>
      <c r="DR343" s="172"/>
      <c r="DS343" s="172"/>
      <c r="DT343" s="172"/>
      <c r="DU343" s="172"/>
      <c r="DV343" s="196"/>
    </row>
    <row r="344" spans="1:126" x14ac:dyDescent="0.2">
      <c r="A344" s="143" t="s">
        <v>707</v>
      </c>
      <c r="AJ344" s="133"/>
      <c r="AK344" s="133"/>
      <c r="AL344" s="183"/>
      <c r="AM344" s="183"/>
      <c r="AN344" s="183"/>
      <c r="AO344" s="183"/>
      <c r="AP344" s="183"/>
      <c r="AQ344" s="183"/>
      <c r="AR344" s="183"/>
      <c r="AS344" s="183"/>
      <c r="AT344" s="183"/>
      <c r="AU344" s="183"/>
      <c r="AV344" s="183"/>
      <c r="AW344" s="183"/>
      <c r="AX344" s="183"/>
      <c r="AY344" s="183"/>
      <c r="AZ344" s="183"/>
      <c r="BA344" s="183"/>
      <c r="BB344" s="183"/>
      <c r="BC344" s="183"/>
      <c r="BD344" s="183"/>
      <c r="BE344" s="183"/>
      <c r="BF344" s="133"/>
      <c r="CG344" s="176"/>
      <c r="CH344" s="169"/>
      <c r="CI344" s="177"/>
      <c r="CJ344" s="177"/>
      <c r="CK344" s="177"/>
      <c r="CL344" s="177"/>
      <c r="CM344" s="177"/>
      <c r="CN344" s="177"/>
      <c r="CO344" s="177"/>
      <c r="CP344" s="177"/>
      <c r="CQ344" s="177"/>
      <c r="CR344" s="177"/>
      <c r="CS344" s="177"/>
      <c r="CT344" s="177"/>
      <c r="CU344" s="177"/>
      <c r="CV344" s="172"/>
      <c r="CW344" s="172"/>
      <c r="CX344" s="172"/>
      <c r="CY344" s="172"/>
      <c r="CZ344" s="172"/>
      <c r="DA344" s="196"/>
      <c r="DC344" s="169"/>
      <c r="DD344" s="177"/>
      <c r="DE344" s="177"/>
      <c r="DF344" s="177"/>
      <c r="DG344" s="177"/>
      <c r="DH344" s="177"/>
      <c r="DI344" s="177"/>
      <c r="DJ344" s="177"/>
      <c r="DK344" s="177"/>
      <c r="DL344" s="177"/>
      <c r="DM344" s="177"/>
      <c r="DN344" s="177"/>
      <c r="DO344" s="177"/>
      <c r="DP344" s="177"/>
      <c r="DQ344" s="172"/>
      <c r="DR344" s="172"/>
      <c r="DS344" s="172"/>
      <c r="DT344" s="172"/>
      <c r="DU344" s="172"/>
      <c r="DV344" s="196"/>
    </row>
    <row r="345" spans="1:126" x14ac:dyDescent="0.2">
      <c r="A345" s="143" t="s">
        <v>708</v>
      </c>
      <c r="AJ345" s="133"/>
      <c r="AK345" s="133"/>
      <c r="AL345" s="183"/>
      <c r="AM345" s="183"/>
      <c r="AN345" s="183"/>
      <c r="AO345" s="183"/>
      <c r="AP345" s="183"/>
      <c r="AQ345" s="183"/>
      <c r="AR345" s="183"/>
      <c r="AS345" s="183"/>
      <c r="AT345" s="183"/>
      <c r="AU345" s="183"/>
      <c r="AV345" s="183"/>
      <c r="AW345" s="183"/>
      <c r="AX345" s="183"/>
      <c r="AY345" s="183"/>
      <c r="AZ345" s="183"/>
      <c r="BA345" s="183"/>
      <c r="BB345" s="183"/>
      <c r="BC345" s="183"/>
      <c r="BD345" s="183"/>
      <c r="BE345" s="183"/>
      <c r="BF345" s="133"/>
      <c r="CG345" s="178"/>
      <c r="CH345" s="169"/>
      <c r="CI345" s="177"/>
      <c r="CJ345" s="177"/>
      <c r="CK345" s="177"/>
      <c r="CL345" s="177"/>
      <c r="CM345" s="177"/>
      <c r="CN345" s="177"/>
      <c r="CO345" s="177"/>
      <c r="CP345" s="177"/>
      <c r="CQ345" s="177"/>
      <c r="CR345" s="177"/>
      <c r="CS345" s="177"/>
      <c r="CT345" s="177"/>
      <c r="CU345" s="177"/>
      <c r="CV345" s="172"/>
      <c r="CW345" s="172"/>
      <c r="CX345" s="172"/>
      <c r="CY345" s="172"/>
      <c r="CZ345" s="172"/>
      <c r="DA345" s="196"/>
      <c r="DC345" s="169"/>
      <c r="DD345" s="177"/>
      <c r="DE345" s="177"/>
      <c r="DF345" s="177"/>
      <c r="DG345" s="177"/>
      <c r="DH345" s="177"/>
      <c r="DI345" s="177"/>
      <c r="DJ345" s="177"/>
      <c r="DK345" s="177"/>
      <c r="DL345" s="177"/>
      <c r="DM345" s="177"/>
      <c r="DN345" s="177"/>
      <c r="DO345" s="177"/>
      <c r="DP345" s="177"/>
      <c r="DQ345" s="172"/>
      <c r="DR345" s="172"/>
      <c r="DS345" s="172"/>
      <c r="DT345" s="172"/>
      <c r="DU345" s="172"/>
      <c r="DV345" s="196"/>
    </row>
    <row r="346" spans="1:126" x14ac:dyDescent="0.2">
      <c r="A346" s="143" t="s">
        <v>709</v>
      </c>
      <c r="AJ346" s="133"/>
      <c r="AK346" s="133"/>
      <c r="AL346" s="183"/>
      <c r="AM346" s="183"/>
      <c r="AN346" s="183"/>
      <c r="AO346" s="183"/>
      <c r="AP346" s="183"/>
      <c r="AQ346" s="183"/>
      <c r="AR346" s="183"/>
      <c r="AS346" s="183"/>
      <c r="AT346" s="183"/>
      <c r="AU346" s="183"/>
      <c r="AV346" s="183"/>
      <c r="AW346" s="183"/>
      <c r="AX346" s="183"/>
      <c r="AY346" s="183"/>
      <c r="AZ346" s="183"/>
      <c r="BA346" s="183"/>
      <c r="BB346" s="183"/>
      <c r="BC346" s="183"/>
      <c r="BD346" s="183"/>
      <c r="BE346" s="183"/>
      <c r="BF346" s="133"/>
      <c r="CG346" s="179"/>
      <c r="CH346" s="169"/>
      <c r="CI346" s="177"/>
      <c r="CJ346" s="177"/>
      <c r="CK346" s="177"/>
      <c r="CL346" s="177"/>
      <c r="CM346" s="177"/>
      <c r="CN346" s="177"/>
      <c r="CO346" s="177"/>
      <c r="CP346" s="177"/>
      <c r="CQ346" s="177"/>
      <c r="CR346" s="177"/>
      <c r="CS346" s="177"/>
      <c r="CT346" s="177"/>
      <c r="CU346" s="177"/>
      <c r="CV346" s="172"/>
      <c r="CW346" s="172"/>
      <c r="CX346" s="172"/>
      <c r="CY346" s="172"/>
      <c r="CZ346" s="172"/>
      <c r="DA346" s="196"/>
      <c r="DC346" s="169"/>
      <c r="DD346" s="177"/>
      <c r="DE346" s="177"/>
      <c r="DF346" s="177"/>
      <c r="DG346" s="177"/>
      <c r="DH346" s="177"/>
      <c r="DI346" s="177"/>
      <c r="DJ346" s="177"/>
      <c r="DK346" s="177"/>
      <c r="DL346" s="177"/>
      <c r="DM346" s="177"/>
      <c r="DN346" s="177"/>
      <c r="DO346" s="177"/>
      <c r="DP346" s="177"/>
      <c r="DQ346" s="172"/>
      <c r="DR346" s="172"/>
      <c r="DS346" s="172"/>
      <c r="DT346" s="172"/>
      <c r="DU346" s="172"/>
      <c r="DV346" s="196"/>
    </row>
    <row r="347" spans="1:126" x14ac:dyDescent="0.2">
      <c r="A347" s="143" t="s">
        <v>710</v>
      </c>
      <c r="AJ347" s="133"/>
      <c r="AK347" s="133"/>
      <c r="AL347" s="183"/>
      <c r="AM347" s="183"/>
      <c r="AN347" s="183"/>
      <c r="AO347" s="183"/>
      <c r="AP347" s="183"/>
      <c r="AQ347" s="183"/>
      <c r="AR347" s="183"/>
      <c r="AS347" s="183"/>
      <c r="AT347" s="183"/>
      <c r="AU347" s="183"/>
      <c r="AV347" s="183"/>
      <c r="AW347" s="183"/>
      <c r="AX347" s="183"/>
      <c r="AY347" s="183"/>
      <c r="AZ347" s="183"/>
      <c r="BA347" s="183"/>
      <c r="BB347" s="183"/>
      <c r="BC347" s="183"/>
      <c r="BD347" s="183"/>
      <c r="BE347" s="183"/>
      <c r="BF347" s="133"/>
      <c r="CG347" s="179"/>
      <c r="CH347" s="169"/>
      <c r="CI347" s="177"/>
      <c r="CJ347" s="177"/>
      <c r="CK347" s="177"/>
      <c r="CL347" s="177"/>
      <c r="CM347" s="177"/>
      <c r="CN347" s="177"/>
      <c r="CO347" s="177"/>
      <c r="CP347" s="177"/>
      <c r="CQ347" s="177"/>
      <c r="CR347" s="177"/>
      <c r="CS347" s="177"/>
      <c r="CT347" s="177"/>
      <c r="CU347" s="177"/>
      <c r="CV347" s="172"/>
      <c r="CW347" s="172"/>
      <c r="CX347" s="172"/>
      <c r="CY347" s="172"/>
      <c r="CZ347" s="172"/>
      <c r="DA347" s="196"/>
      <c r="DC347" s="169"/>
      <c r="DD347" s="177"/>
      <c r="DE347" s="177"/>
      <c r="DF347" s="177"/>
      <c r="DG347" s="177"/>
      <c r="DH347" s="177"/>
      <c r="DI347" s="177"/>
      <c r="DJ347" s="177"/>
      <c r="DK347" s="177"/>
      <c r="DL347" s="177"/>
      <c r="DM347" s="177"/>
      <c r="DN347" s="177"/>
      <c r="DO347" s="177"/>
      <c r="DP347" s="177"/>
      <c r="DQ347" s="172"/>
      <c r="DR347" s="172"/>
      <c r="DS347" s="172"/>
      <c r="DT347" s="172"/>
      <c r="DU347" s="172"/>
      <c r="DV347" s="196"/>
    </row>
    <row r="348" spans="1:126" x14ac:dyDescent="0.2">
      <c r="A348" s="143" t="s">
        <v>711</v>
      </c>
      <c r="AJ348" s="133"/>
      <c r="AK348" s="133"/>
      <c r="AL348" s="183"/>
      <c r="AM348" s="183"/>
      <c r="AN348" s="183"/>
      <c r="AO348" s="183"/>
      <c r="AP348" s="183"/>
      <c r="AQ348" s="183"/>
      <c r="AR348" s="183"/>
      <c r="AS348" s="183"/>
      <c r="AT348" s="183"/>
      <c r="AU348" s="183"/>
      <c r="AV348" s="183"/>
      <c r="AW348" s="183"/>
      <c r="AX348" s="183"/>
      <c r="AY348" s="183"/>
      <c r="AZ348" s="183"/>
      <c r="BA348" s="183"/>
      <c r="BB348" s="183"/>
      <c r="BC348" s="183"/>
      <c r="BD348" s="183"/>
      <c r="BE348" s="183"/>
      <c r="BF348" s="133"/>
      <c r="CG348" s="179"/>
      <c r="CH348" s="169"/>
      <c r="CI348" s="177"/>
      <c r="CJ348" s="177"/>
      <c r="CK348" s="177"/>
      <c r="CL348" s="177"/>
      <c r="CM348" s="177"/>
      <c r="CN348" s="177"/>
      <c r="CO348" s="177"/>
      <c r="CP348" s="177"/>
      <c r="CQ348" s="177"/>
      <c r="CR348" s="177"/>
      <c r="CS348" s="177"/>
      <c r="CT348" s="177"/>
      <c r="CU348" s="177"/>
      <c r="CV348" s="172"/>
      <c r="CW348" s="172"/>
      <c r="CX348" s="172"/>
      <c r="CY348" s="172"/>
      <c r="CZ348" s="172"/>
      <c r="DA348" s="196"/>
      <c r="DC348" s="169"/>
      <c r="DD348" s="177"/>
      <c r="DE348" s="177"/>
      <c r="DF348" s="177"/>
      <c r="DG348" s="177"/>
      <c r="DH348" s="177"/>
      <c r="DI348" s="177"/>
      <c r="DJ348" s="177"/>
      <c r="DK348" s="177"/>
      <c r="DL348" s="177"/>
      <c r="DM348" s="177"/>
      <c r="DN348" s="177"/>
      <c r="DO348" s="177"/>
      <c r="DP348" s="177"/>
      <c r="DQ348" s="172"/>
      <c r="DR348" s="172"/>
      <c r="DS348" s="172"/>
      <c r="DT348" s="172"/>
      <c r="DU348" s="172"/>
      <c r="DV348" s="196"/>
    </row>
    <row r="349" spans="1:126" x14ac:dyDescent="0.2">
      <c r="A349" s="143" t="s">
        <v>712</v>
      </c>
      <c r="AJ349" s="133"/>
      <c r="AK349" s="133"/>
      <c r="AL349" s="183"/>
      <c r="AM349" s="183"/>
      <c r="AN349" s="183"/>
      <c r="AO349" s="183"/>
      <c r="AP349" s="183"/>
      <c r="AQ349" s="183"/>
      <c r="AR349" s="183"/>
      <c r="AS349" s="183"/>
      <c r="AT349" s="183"/>
      <c r="AU349" s="183"/>
      <c r="AV349" s="183"/>
      <c r="AW349" s="183"/>
      <c r="AX349" s="183"/>
      <c r="AY349" s="183"/>
      <c r="AZ349" s="183"/>
      <c r="BA349" s="183"/>
      <c r="BB349" s="183"/>
      <c r="BC349" s="183"/>
      <c r="BD349" s="183"/>
      <c r="BE349" s="183"/>
      <c r="BF349" s="133"/>
      <c r="CG349" s="179"/>
      <c r="CH349" s="169"/>
      <c r="CI349" s="177"/>
      <c r="CJ349" s="177"/>
      <c r="CK349" s="177"/>
      <c r="CL349" s="177"/>
      <c r="CM349" s="177"/>
      <c r="CN349" s="177"/>
      <c r="CO349" s="177"/>
      <c r="CP349" s="177"/>
      <c r="CQ349" s="177"/>
      <c r="CR349" s="177"/>
      <c r="CS349" s="177"/>
      <c r="CT349" s="177"/>
      <c r="CU349" s="177"/>
      <c r="CV349" s="172"/>
      <c r="CW349" s="172"/>
      <c r="CX349" s="172"/>
      <c r="CY349" s="172"/>
      <c r="CZ349" s="172"/>
      <c r="DA349" s="196"/>
      <c r="DC349" s="169"/>
      <c r="DD349" s="177"/>
      <c r="DE349" s="177"/>
      <c r="DF349" s="177"/>
      <c r="DG349" s="177"/>
      <c r="DH349" s="177"/>
      <c r="DI349" s="177"/>
      <c r="DJ349" s="177"/>
      <c r="DK349" s="177"/>
      <c r="DL349" s="177"/>
      <c r="DM349" s="177"/>
      <c r="DN349" s="177"/>
      <c r="DO349" s="177"/>
      <c r="DP349" s="177"/>
      <c r="DQ349" s="172"/>
      <c r="DR349" s="172"/>
      <c r="DS349" s="172"/>
      <c r="DT349" s="172"/>
      <c r="DU349" s="172"/>
      <c r="DV349" s="196"/>
    </row>
    <row r="350" spans="1:126" x14ac:dyDescent="0.2">
      <c r="A350" s="143" t="s">
        <v>713</v>
      </c>
      <c r="AJ350" s="133"/>
      <c r="AK350" s="133"/>
      <c r="AL350" s="183"/>
      <c r="AM350" s="183"/>
      <c r="AN350" s="183"/>
      <c r="AO350" s="183"/>
      <c r="AP350" s="183"/>
      <c r="AQ350" s="183"/>
      <c r="AR350" s="183"/>
      <c r="AS350" s="183"/>
      <c r="AT350" s="183"/>
      <c r="AU350" s="183"/>
      <c r="AV350" s="183"/>
      <c r="AW350" s="183"/>
      <c r="AX350" s="183"/>
      <c r="AY350" s="183"/>
      <c r="AZ350" s="183"/>
      <c r="BA350" s="183"/>
      <c r="BB350" s="183"/>
      <c r="BC350" s="183"/>
      <c r="BD350" s="183"/>
      <c r="BE350" s="183"/>
      <c r="BF350" s="133"/>
      <c r="CG350" s="179"/>
      <c r="CH350" s="169"/>
      <c r="CI350" s="177"/>
      <c r="CJ350" s="177"/>
      <c r="CK350" s="177"/>
      <c r="CL350" s="177"/>
      <c r="CM350" s="177"/>
      <c r="CN350" s="177"/>
      <c r="CO350" s="177"/>
      <c r="CP350" s="177"/>
      <c r="CQ350" s="177"/>
      <c r="CR350" s="177"/>
      <c r="CS350" s="177"/>
      <c r="CT350" s="177"/>
      <c r="CU350" s="177"/>
      <c r="CV350" s="172"/>
      <c r="CW350" s="172"/>
      <c r="CX350" s="172"/>
      <c r="CY350" s="172"/>
      <c r="CZ350" s="172"/>
      <c r="DA350" s="196"/>
      <c r="DC350" s="169"/>
      <c r="DD350" s="177"/>
      <c r="DE350" s="177"/>
      <c r="DF350" s="177"/>
      <c r="DG350" s="177"/>
      <c r="DH350" s="177"/>
      <c r="DI350" s="177"/>
      <c r="DJ350" s="177"/>
      <c r="DK350" s="177"/>
      <c r="DL350" s="177"/>
      <c r="DM350" s="177"/>
      <c r="DN350" s="177"/>
      <c r="DO350" s="177"/>
      <c r="DP350" s="177"/>
      <c r="DQ350" s="172"/>
      <c r="DR350" s="172"/>
      <c r="DS350" s="172"/>
      <c r="DT350" s="172"/>
      <c r="DU350" s="172"/>
      <c r="DV350" s="196"/>
    </row>
    <row r="351" spans="1:126" x14ac:dyDescent="0.2">
      <c r="A351" s="143" t="s">
        <v>714</v>
      </c>
      <c r="AJ351" s="133"/>
      <c r="AK351" s="133"/>
      <c r="AL351" s="183"/>
      <c r="AM351" s="183"/>
      <c r="AN351" s="183"/>
      <c r="AO351" s="183"/>
      <c r="AP351" s="183"/>
      <c r="AQ351" s="183"/>
      <c r="AR351" s="183"/>
      <c r="AS351" s="183"/>
      <c r="AT351" s="183"/>
      <c r="AU351" s="183"/>
      <c r="AV351" s="183"/>
      <c r="AW351" s="183"/>
      <c r="AX351" s="183"/>
      <c r="AY351" s="183"/>
      <c r="AZ351" s="183"/>
      <c r="BA351" s="183"/>
      <c r="BB351" s="183"/>
      <c r="BC351" s="183"/>
      <c r="BD351" s="183"/>
      <c r="BE351" s="183"/>
      <c r="BF351" s="133"/>
      <c r="CG351" s="179"/>
      <c r="CH351" s="169"/>
      <c r="CI351" s="177"/>
      <c r="CJ351" s="177"/>
      <c r="CK351" s="177"/>
      <c r="CL351" s="177"/>
      <c r="CM351" s="177"/>
      <c r="CN351" s="177"/>
      <c r="CO351" s="177"/>
      <c r="CP351" s="177"/>
      <c r="CQ351" s="177"/>
      <c r="CR351" s="177"/>
      <c r="CS351" s="177"/>
      <c r="CT351" s="177"/>
      <c r="CU351" s="177"/>
      <c r="CV351" s="172"/>
      <c r="CW351" s="172"/>
      <c r="CX351" s="172"/>
      <c r="CY351" s="172"/>
      <c r="CZ351" s="172"/>
      <c r="DA351" s="196"/>
      <c r="DC351" s="169"/>
      <c r="DD351" s="177"/>
      <c r="DE351" s="177"/>
      <c r="DF351" s="177"/>
      <c r="DG351" s="177"/>
      <c r="DH351" s="177"/>
      <c r="DI351" s="177"/>
      <c r="DJ351" s="177"/>
      <c r="DK351" s="177"/>
      <c r="DL351" s="177"/>
      <c r="DM351" s="177"/>
      <c r="DN351" s="177"/>
      <c r="DO351" s="177"/>
      <c r="DP351" s="177"/>
      <c r="DQ351" s="172"/>
      <c r="DR351" s="172"/>
      <c r="DS351" s="172"/>
      <c r="DT351" s="172"/>
      <c r="DU351" s="172"/>
      <c r="DV351" s="196"/>
    </row>
    <row r="352" spans="1:126" x14ac:dyDescent="0.2">
      <c r="A352" s="143" t="s">
        <v>715</v>
      </c>
      <c r="AJ352" s="133"/>
      <c r="AK352" s="133"/>
      <c r="AL352" s="183"/>
      <c r="AM352" s="183"/>
      <c r="AN352" s="183"/>
      <c r="AO352" s="183"/>
      <c r="AP352" s="183"/>
      <c r="AQ352" s="183"/>
      <c r="AR352" s="183"/>
      <c r="AS352" s="183"/>
      <c r="AT352" s="183"/>
      <c r="AU352" s="183"/>
      <c r="AV352" s="183"/>
      <c r="AW352" s="183"/>
      <c r="AX352" s="183"/>
      <c r="AY352" s="183"/>
      <c r="AZ352" s="183"/>
      <c r="BA352" s="183"/>
      <c r="BB352" s="183"/>
      <c r="BC352" s="183"/>
      <c r="BD352" s="183"/>
      <c r="BE352" s="183"/>
      <c r="BF352" s="133"/>
      <c r="CG352" s="179"/>
      <c r="CH352" s="169"/>
      <c r="CI352" s="177"/>
      <c r="CJ352" s="177"/>
      <c r="CK352" s="177"/>
      <c r="CL352" s="177"/>
      <c r="CM352" s="177"/>
      <c r="CN352" s="177"/>
      <c r="CO352" s="177"/>
      <c r="CP352" s="177"/>
      <c r="CQ352" s="177"/>
      <c r="CR352" s="177"/>
      <c r="CS352" s="177"/>
      <c r="CT352" s="177"/>
      <c r="CU352" s="177"/>
      <c r="CV352" s="172"/>
      <c r="CW352" s="172"/>
      <c r="CX352" s="172"/>
      <c r="CY352" s="172"/>
      <c r="CZ352" s="172"/>
      <c r="DA352" s="196"/>
      <c r="DC352" s="169"/>
      <c r="DD352" s="177"/>
      <c r="DE352" s="177"/>
      <c r="DF352" s="177"/>
      <c r="DG352" s="177"/>
      <c r="DH352" s="177"/>
      <c r="DI352" s="177"/>
      <c r="DJ352" s="177"/>
      <c r="DK352" s="177"/>
      <c r="DL352" s="177"/>
      <c r="DM352" s="177"/>
      <c r="DN352" s="177"/>
      <c r="DO352" s="177"/>
      <c r="DP352" s="177"/>
      <c r="DQ352" s="172"/>
      <c r="DR352" s="172"/>
      <c r="DS352" s="172"/>
      <c r="DT352" s="172"/>
      <c r="DU352" s="172"/>
      <c r="DV352" s="196"/>
    </row>
    <row r="353" spans="1:126" x14ac:dyDescent="0.2">
      <c r="A353" s="143" t="s">
        <v>716</v>
      </c>
      <c r="AJ353" s="133"/>
      <c r="AK353" s="133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33"/>
      <c r="CG353" s="179"/>
      <c r="CH353" s="197"/>
      <c r="CI353" s="180"/>
      <c r="CJ353" s="180"/>
      <c r="CK353" s="180"/>
      <c r="CL353" s="180"/>
      <c r="CM353" s="180"/>
      <c r="CN353" s="180"/>
      <c r="CO353" s="180"/>
      <c r="CP353" s="180"/>
      <c r="CQ353" s="180"/>
      <c r="CR353" s="180"/>
      <c r="CS353" s="180"/>
      <c r="CT353" s="180"/>
      <c r="CU353" s="180"/>
      <c r="CV353" s="173"/>
      <c r="CW353" s="173"/>
      <c r="CX353" s="173"/>
      <c r="CY353" s="173"/>
      <c r="CZ353" s="173"/>
      <c r="DA353" s="198"/>
      <c r="DC353" s="197"/>
      <c r="DD353" s="180"/>
      <c r="DE353" s="180"/>
      <c r="DF353" s="180"/>
      <c r="DG353" s="180"/>
      <c r="DH353" s="180"/>
      <c r="DI353" s="180"/>
      <c r="DJ353" s="180"/>
      <c r="DK353" s="180"/>
      <c r="DL353" s="180"/>
      <c r="DM353" s="180"/>
      <c r="DN353" s="180"/>
      <c r="DO353" s="180"/>
      <c r="DP353" s="180"/>
      <c r="DQ353" s="173"/>
      <c r="DR353" s="173"/>
      <c r="DS353" s="173"/>
      <c r="DT353" s="173"/>
      <c r="DU353" s="173"/>
      <c r="DV353" s="198"/>
    </row>
    <row r="354" spans="1:126" x14ac:dyDescent="0.2">
      <c r="A354" s="143" t="s">
        <v>717</v>
      </c>
      <c r="AJ354" s="133"/>
      <c r="AK354" s="133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33"/>
      <c r="CG354" s="179"/>
      <c r="CH354" s="197"/>
      <c r="CI354" s="180"/>
      <c r="CJ354" s="180"/>
      <c r="CK354" s="180"/>
      <c r="CL354" s="180"/>
      <c r="CM354" s="180"/>
      <c r="CN354" s="180"/>
      <c r="CO354" s="180"/>
      <c r="CP354" s="180"/>
      <c r="CQ354" s="180"/>
      <c r="CR354" s="180"/>
      <c r="CS354" s="180"/>
      <c r="CT354" s="180"/>
      <c r="CU354" s="180"/>
      <c r="CV354" s="173"/>
      <c r="CW354" s="173"/>
      <c r="CX354" s="173"/>
      <c r="CY354" s="173"/>
      <c r="CZ354" s="173"/>
      <c r="DA354" s="198"/>
      <c r="DC354" s="197"/>
      <c r="DD354" s="180"/>
      <c r="DE354" s="180"/>
      <c r="DF354" s="180"/>
      <c r="DG354" s="180"/>
      <c r="DH354" s="180"/>
      <c r="DI354" s="180"/>
      <c r="DJ354" s="180"/>
      <c r="DK354" s="180"/>
      <c r="DL354" s="180"/>
      <c r="DM354" s="180"/>
      <c r="DN354" s="180"/>
      <c r="DO354" s="180"/>
      <c r="DP354" s="180"/>
      <c r="DQ354" s="173"/>
      <c r="DR354" s="173"/>
      <c r="DS354" s="173"/>
      <c r="DT354" s="173"/>
      <c r="DU354" s="173"/>
      <c r="DV354" s="198"/>
    </row>
    <row r="355" spans="1:126" x14ac:dyDescent="0.2">
      <c r="A355" s="143" t="s">
        <v>718</v>
      </c>
      <c r="AJ355" s="133"/>
      <c r="AK355" s="133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33"/>
      <c r="CG355" s="179"/>
      <c r="CH355" s="197"/>
      <c r="CI355" s="180"/>
      <c r="CJ355" s="180"/>
      <c r="CK355" s="180"/>
      <c r="CL355" s="180"/>
      <c r="CM355" s="180"/>
      <c r="CN355" s="180"/>
      <c r="CO355" s="180"/>
      <c r="CP355" s="180"/>
      <c r="CQ355" s="180"/>
      <c r="CR355" s="180"/>
      <c r="CS355" s="180"/>
      <c r="CT355" s="180"/>
      <c r="CU355" s="180"/>
      <c r="CV355" s="173"/>
      <c r="CW355" s="173"/>
      <c r="CX355" s="173"/>
      <c r="CY355" s="173"/>
      <c r="CZ355" s="173"/>
      <c r="DA355" s="198"/>
      <c r="DC355" s="197"/>
      <c r="DD355" s="180"/>
      <c r="DE355" s="180"/>
      <c r="DF355" s="180"/>
      <c r="DG355" s="180"/>
      <c r="DH355" s="180"/>
      <c r="DI355" s="180"/>
      <c r="DJ355" s="180"/>
      <c r="DK355" s="180"/>
      <c r="DL355" s="180"/>
      <c r="DM355" s="180"/>
      <c r="DN355" s="180"/>
      <c r="DO355" s="180"/>
      <c r="DP355" s="180"/>
      <c r="DQ355" s="173"/>
      <c r="DR355" s="173"/>
      <c r="DS355" s="173"/>
      <c r="DT355" s="173"/>
      <c r="DU355" s="173"/>
      <c r="DV355" s="198"/>
    </row>
    <row r="356" spans="1:126" x14ac:dyDescent="0.2">
      <c r="A356" s="143" t="s">
        <v>719</v>
      </c>
      <c r="AJ356" s="133"/>
      <c r="AK356" s="133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33"/>
      <c r="CG356" s="179"/>
      <c r="CH356" s="197"/>
      <c r="CI356" s="180"/>
      <c r="CJ356" s="180"/>
      <c r="CK356" s="180"/>
      <c r="CL356" s="180"/>
      <c r="CM356" s="180"/>
      <c r="CN356" s="180"/>
      <c r="CO356" s="180"/>
      <c r="CP356" s="180"/>
      <c r="CQ356" s="180"/>
      <c r="CR356" s="180"/>
      <c r="CS356" s="180"/>
      <c r="CT356" s="180"/>
      <c r="CU356" s="180"/>
      <c r="CV356" s="173"/>
      <c r="CW356" s="173"/>
      <c r="CX356" s="173"/>
      <c r="CY356" s="173"/>
      <c r="CZ356" s="173"/>
      <c r="DA356" s="198"/>
      <c r="DC356" s="197"/>
      <c r="DD356" s="180"/>
      <c r="DE356" s="180"/>
      <c r="DF356" s="180"/>
      <c r="DG356" s="180"/>
      <c r="DH356" s="180"/>
      <c r="DI356" s="180"/>
      <c r="DJ356" s="180"/>
      <c r="DK356" s="180"/>
      <c r="DL356" s="180"/>
      <c r="DM356" s="180"/>
      <c r="DN356" s="180"/>
      <c r="DO356" s="180"/>
      <c r="DP356" s="180"/>
      <c r="DQ356" s="173"/>
      <c r="DR356" s="173"/>
      <c r="DS356" s="173"/>
      <c r="DT356" s="173"/>
      <c r="DU356" s="173"/>
      <c r="DV356" s="198"/>
    </row>
    <row r="357" spans="1:126" x14ac:dyDescent="0.2">
      <c r="A357" s="144" t="s">
        <v>720</v>
      </c>
      <c r="AJ357" s="133"/>
      <c r="AK357" s="133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33"/>
      <c r="CG357" s="179"/>
      <c r="CH357" s="197"/>
      <c r="CI357" s="180"/>
      <c r="CJ357" s="180"/>
      <c r="CK357" s="180"/>
      <c r="CL357" s="180"/>
      <c r="CM357" s="180"/>
      <c r="CN357" s="180"/>
      <c r="CO357" s="180"/>
      <c r="CP357" s="180"/>
      <c r="CQ357" s="180"/>
      <c r="CR357" s="180"/>
      <c r="CS357" s="180"/>
      <c r="CT357" s="180"/>
      <c r="CU357" s="180"/>
      <c r="CV357" s="173"/>
      <c r="CW357" s="173"/>
      <c r="CX357" s="173"/>
      <c r="CY357" s="173"/>
      <c r="CZ357" s="173"/>
      <c r="DA357" s="198"/>
      <c r="DC357" s="197"/>
      <c r="DD357" s="180"/>
      <c r="DE357" s="180"/>
      <c r="DF357" s="180"/>
      <c r="DG357" s="180"/>
      <c r="DH357" s="180"/>
      <c r="DI357" s="180"/>
      <c r="DJ357" s="180"/>
      <c r="DK357" s="180"/>
      <c r="DL357" s="180"/>
      <c r="DM357" s="180"/>
      <c r="DN357" s="180"/>
      <c r="DO357" s="180"/>
      <c r="DP357" s="180"/>
      <c r="DQ357" s="173"/>
      <c r="DR357" s="173"/>
      <c r="DS357" s="173"/>
      <c r="DT357" s="173"/>
      <c r="DU357" s="173"/>
      <c r="DV357" s="198"/>
    </row>
    <row r="358" spans="1:126" x14ac:dyDescent="0.2">
      <c r="A358" s="142" t="s">
        <v>721</v>
      </c>
      <c r="AJ358" s="133"/>
      <c r="AK358" s="133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33"/>
      <c r="CG358" s="176"/>
      <c r="CH358" s="197"/>
      <c r="CI358" s="180"/>
      <c r="CJ358" s="180"/>
      <c r="CK358" s="180"/>
      <c r="CL358" s="180"/>
      <c r="CM358" s="180"/>
      <c r="CN358" s="180"/>
      <c r="CO358" s="180"/>
      <c r="CP358" s="180"/>
      <c r="CQ358" s="180"/>
      <c r="CR358" s="180"/>
      <c r="CS358" s="180"/>
      <c r="CT358" s="180"/>
      <c r="CU358" s="180"/>
      <c r="CV358" s="173"/>
      <c r="CW358" s="173"/>
      <c r="CX358" s="173"/>
      <c r="CY358" s="173"/>
      <c r="CZ358" s="173"/>
      <c r="DA358" s="198"/>
      <c r="DC358" s="197"/>
      <c r="DD358" s="180"/>
      <c r="DE358" s="180"/>
      <c r="DF358" s="180"/>
      <c r="DG358" s="180"/>
      <c r="DH358" s="180"/>
      <c r="DI358" s="180"/>
      <c r="DJ358" s="180"/>
      <c r="DK358" s="180"/>
      <c r="DL358" s="180"/>
      <c r="DM358" s="180"/>
      <c r="DN358" s="180"/>
      <c r="DO358" s="180"/>
      <c r="DP358" s="180"/>
      <c r="DQ358" s="173"/>
      <c r="DR358" s="173"/>
      <c r="DS358" s="173"/>
      <c r="DT358" s="173"/>
      <c r="DU358" s="173"/>
      <c r="DV358" s="198"/>
    </row>
    <row r="359" spans="1:126" x14ac:dyDescent="0.2">
      <c r="A359" s="143" t="s">
        <v>722</v>
      </c>
      <c r="AJ359" s="133"/>
      <c r="AK359" s="133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33"/>
      <c r="CG359" s="176"/>
      <c r="CH359" s="197"/>
      <c r="CI359" s="180"/>
      <c r="CJ359" s="180"/>
      <c r="CK359" s="180"/>
      <c r="CL359" s="180"/>
      <c r="CM359" s="180"/>
      <c r="CN359" s="180"/>
      <c r="CO359" s="180"/>
      <c r="CP359" s="180"/>
      <c r="CQ359" s="180"/>
      <c r="CR359" s="180"/>
      <c r="CS359" s="180"/>
      <c r="CT359" s="180"/>
      <c r="CU359" s="180"/>
      <c r="CV359" s="173"/>
      <c r="CW359" s="173"/>
      <c r="CX359" s="173"/>
      <c r="CY359" s="173"/>
      <c r="CZ359" s="173"/>
      <c r="DA359" s="198"/>
      <c r="DC359" s="197"/>
      <c r="DD359" s="180"/>
      <c r="DE359" s="180"/>
      <c r="DF359" s="180"/>
      <c r="DG359" s="180"/>
      <c r="DH359" s="180"/>
      <c r="DI359" s="180"/>
      <c r="DJ359" s="180"/>
      <c r="DK359" s="180"/>
      <c r="DL359" s="180"/>
      <c r="DM359" s="180"/>
      <c r="DN359" s="180"/>
      <c r="DO359" s="180"/>
      <c r="DP359" s="180"/>
      <c r="DQ359" s="173"/>
      <c r="DR359" s="173"/>
      <c r="DS359" s="173"/>
      <c r="DT359" s="173"/>
      <c r="DU359" s="173"/>
      <c r="DV359" s="198"/>
    </row>
    <row r="360" spans="1:126" x14ac:dyDescent="0.2">
      <c r="A360" s="143" t="s">
        <v>723</v>
      </c>
      <c r="AJ360" s="133"/>
      <c r="AK360" s="133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33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33"/>
      <c r="CG360" s="176"/>
      <c r="CH360" s="199"/>
      <c r="CI360" s="200"/>
      <c r="CJ360" s="200"/>
      <c r="CK360" s="200"/>
      <c r="CL360" s="200"/>
      <c r="CM360" s="200"/>
      <c r="CN360" s="200"/>
      <c r="CO360" s="200"/>
      <c r="CP360" s="200"/>
      <c r="CQ360" s="201"/>
      <c r="CR360" s="202"/>
      <c r="CS360" s="200"/>
      <c r="CT360" s="200"/>
      <c r="CU360" s="200"/>
      <c r="CV360" s="203"/>
      <c r="CW360" s="203"/>
      <c r="CX360" s="203"/>
      <c r="CY360" s="203"/>
      <c r="CZ360" s="203"/>
      <c r="DA360" s="204"/>
      <c r="DC360" s="199"/>
      <c r="DD360" s="200"/>
      <c r="DE360" s="200"/>
      <c r="DF360" s="200"/>
      <c r="DG360" s="200"/>
      <c r="DH360" s="200"/>
      <c r="DI360" s="200"/>
      <c r="DJ360" s="200"/>
      <c r="DK360" s="200"/>
      <c r="DL360" s="200"/>
      <c r="DM360" s="200"/>
      <c r="DN360" s="200"/>
      <c r="DO360" s="200"/>
      <c r="DP360" s="200"/>
      <c r="DQ360" s="203"/>
      <c r="DR360" s="203"/>
      <c r="DS360" s="203"/>
      <c r="DT360" s="203"/>
      <c r="DU360" s="203"/>
      <c r="DV360" s="204"/>
    </row>
    <row r="361" spans="1:126" x14ac:dyDescent="0.2">
      <c r="A361" s="143" t="s">
        <v>724</v>
      </c>
      <c r="AJ361" s="133"/>
      <c r="AK361" s="133"/>
      <c r="AL361" s="183"/>
      <c r="AM361" s="183"/>
      <c r="AN361" s="183"/>
      <c r="AO361" s="183"/>
      <c r="AP361" s="183"/>
      <c r="AQ361" s="183"/>
      <c r="AR361" s="183"/>
      <c r="AS361" s="183"/>
      <c r="AT361" s="183"/>
      <c r="AU361" s="183"/>
      <c r="AV361" s="183"/>
      <c r="AW361" s="183"/>
      <c r="AX361" s="183"/>
      <c r="AY361" s="183"/>
      <c r="AZ361" s="183"/>
      <c r="BA361" s="183"/>
      <c r="BB361" s="183"/>
      <c r="BC361" s="183"/>
      <c r="BD361" s="183"/>
      <c r="BE361" s="183"/>
      <c r="BF361" s="133"/>
      <c r="CG361" s="176">
        <v>19</v>
      </c>
      <c r="CH361" s="192"/>
      <c r="CI361" s="193"/>
      <c r="CJ361" s="193"/>
      <c r="CK361" s="193"/>
      <c r="CL361" s="193"/>
      <c r="CM361" s="193"/>
      <c r="CN361" s="193"/>
      <c r="CO361" s="193"/>
      <c r="CP361" s="193"/>
      <c r="CQ361" s="193"/>
      <c r="CR361" s="193"/>
      <c r="CS361" s="193"/>
      <c r="CT361" s="193"/>
      <c r="CU361" s="193"/>
      <c r="CV361" s="194"/>
      <c r="CW361" s="194"/>
      <c r="CX361" s="194"/>
      <c r="CY361" s="194"/>
      <c r="CZ361" s="194"/>
      <c r="DA361" s="195"/>
      <c r="DC361" s="192"/>
      <c r="DD361" s="193"/>
      <c r="DE361" s="193"/>
      <c r="DF361" s="193"/>
      <c r="DG361" s="193"/>
      <c r="DH361" s="193"/>
      <c r="DI361" s="193"/>
      <c r="DJ361" s="193"/>
      <c r="DK361" s="193"/>
      <c r="DL361" s="193"/>
      <c r="DM361" s="193"/>
      <c r="DN361" s="193"/>
      <c r="DO361" s="193"/>
      <c r="DP361" s="193"/>
      <c r="DQ361" s="194"/>
      <c r="DR361" s="194"/>
      <c r="DS361" s="194"/>
      <c r="DT361" s="194"/>
      <c r="DU361" s="194"/>
      <c r="DV361" s="195"/>
    </row>
    <row r="362" spans="1:126" x14ac:dyDescent="0.2">
      <c r="A362" s="143" t="s">
        <v>725</v>
      </c>
      <c r="AJ362" s="133"/>
      <c r="AK362" s="133"/>
      <c r="AL362" s="183"/>
      <c r="AM362" s="183"/>
      <c r="AN362" s="183"/>
      <c r="AO362" s="183"/>
      <c r="AP362" s="183"/>
      <c r="AQ362" s="183"/>
      <c r="AR362" s="183"/>
      <c r="AS362" s="183"/>
      <c r="AT362" s="183"/>
      <c r="AU362" s="183"/>
      <c r="AV362" s="183"/>
      <c r="AW362" s="183"/>
      <c r="AX362" s="183"/>
      <c r="AY362" s="183"/>
      <c r="AZ362" s="183"/>
      <c r="BA362" s="183"/>
      <c r="BB362" s="183"/>
      <c r="BC362" s="183"/>
      <c r="BD362" s="183"/>
      <c r="BE362" s="183"/>
      <c r="BF362" s="133"/>
      <c r="CG362" s="176"/>
      <c r="CH362" s="169"/>
      <c r="CI362" s="177"/>
      <c r="CJ362" s="177"/>
      <c r="CK362" s="177"/>
      <c r="CL362" s="177"/>
      <c r="CM362" s="177"/>
      <c r="CN362" s="177"/>
      <c r="CO362" s="177"/>
      <c r="CP362" s="177"/>
      <c r="CQ362" s="177"/>
      <c r="CR362" s="177"/>
      <c r="CS362" s="177"/>
      <c r="CT362" s="177"/>
      <c r="CU362" s="177"/>
      <c r="CV362" s="172"/>
      <c r="CW362" s="172"/>
      <c r="CX362" s="172"/>
      <c r="CY362" s="172"/>
      <c r="CZ362" s="172"/>
      <c r="DA362" s="196"/>
      <c r="DC362" s="169"/>
      <c r="DD362" s="177"/>
      <c r="DE362" s="177"/>
      <c r="DF362" s="177"/>
      <c r="DG362" s="177"/>
      <c r="DH362" s="177"/>
      <c r="DI362" s="177"/>
      <c r="DJ362" s="177"/>
      <c r="DK362" s="177"/>
      <c r="DL362" s="177"/>
      <c r="DM362" s="177"/>
      <c r="DN362" s="177"/>
      <c r="DO362" s="177"/>
      <c r="DP362" s="177"/>
      <c r="DQ362" s="172"/>
      <c r="DR362" s="172"/>
      <c r="DS362" s="172"/>
      <c r="DT362" s="172"/>
      <c r="DU362" s="172"/>
      <c r="DV362" s="196"/>
    </row>
    <row r="363" spans="1:126" x14ac:dyDescent="0.2">
      <c r="A363" s="143" t="s">
        <v>726</v>
      </c>
      <c r="AJ363" s="133"/>
      <c r="AK363" s="133"/>
      <c r="AL363" s="183"/>
      <c r="AM363" s="183"/>
      <c r="AN363" s="183"/>
      <c r="AO363" s="183"/>
      <c r="AP363" s="183"/>
      <c r="AQ363" s="183"/>
      <c r="AR363" s="183"/>
      <c r="AS363" s="183"/>
      <c r="AT363" s="183"/>
      <c r="AU363" s="183"/>
      <c r="AV363" s="183"/>
      <c r="AW363" s="183"/>
      <c r="AX363" s="183"/>
      <c r="AY363" s="183"/>
      <c r="AZ363" s="183"/>
      <c r="BA363" s="183"/>
      <c r="BB363" s="183"/>
      <c r="BC363" s="183"/>
      <c r="BD363" s="183"/>
      <c r="BE363" s="183"/>
      <c r="BF363" s="133"/>
      <c r="CG363" s="131"/>
      <c r="CH363" s="169"/>
      <c r="CI363" s="177"/>
      <c r="CJ363" s="177"/>
      <c r="CK363" s="177"/>
      <c r="CL363" s="177"/>
      <c r="CM363" s="177"/>
      <c r="CN363" s="177"/>
      <c r="CO363" s="177"/>
      <c r="CP363" s="177"/>
      <c r="CQ363" s="177"/>
      <c r="CR363" s="177"/>
      <c r="CS363" s="177"/>
      <c r="CT363" s="177"/>
      <c r="CU363" s="177"/>
      <c r="CV363" s="172"/>
      <c r="CW363" s="172"/>
      <c r="CX363" s="172"/>
      <c r="CY363" s="172"/>
      <c r="CZ363" s="172"/>
      <c r="DA363" s="196"/>
      <c r="DC363" s="169"/>
      <c r="DD363" s="177"/>
      <c r="DE363" s="177"/>
      <c r="DF363" s="177"/>
      <c r="DG363" s="177"/>
      <c r="DH363" s="177"/>
      <c r="DI363" s="177"/>
      <c r="DJ363" s="177"/>
      <c r="DK363" s="177"/>
      <c r="DL363" s="177"/>
      <c r="DM363" s="177"/>
      <c r="DN363" s="177"/>
      <c r="DO363" s="177"/>
      <c r="DP363" s="177"/>
      <c r="DQ363" s="172"/>
      <c r="DR363" s="172"/>
      <c r="DS363" s="172"/>
      <c r="DT363" s="172"/>
      <c r="DU363" s="172"/>
      <c r="DV363" s="196"/>
    </row>
    <row r="364" spans="1:126" x14ac:dyDescent="0.2">
      <c r="A364" s="143" t="s">
        <v>727</v>
      </c>
      <c r="AJ364" s="133"/>
      <c r="AK364" s="133"/>
      <c r="AL364" s="183"/>
      <c r="AM364" s="183"/>
      <c r="AN364" s="183"/>
      <c r="AO364" s="183"/>
      <c r="AP364" s="183"/>
      <c r="AQ364" s="183"/>
      <c r="AR364" s="183"/>
      <c r="AS364" s="183"/>
      <c r="AT364" s="183"/>
      <c r="AU364" s="183"/>
      <c r="AV364" s="183"/>
      <c r="AW364" s="183"/>
      <c r="AX364" s="183"/>
      <c r="AY364" s="183"/>
      <c r="AZ364" s="183"/>
      <c r="BA364" s="183"/>
      <c r="BB364" s="183"/>
      <c r="BC364" s="183"/>
      <c r="BD364" s="183"/>
      <c r="BE364" s="183"/>
      <c r="BF364" s="133"/>
      <c r="CG364" s="176"/>
      <c r="CH364" s="169"/>
      <c r="CI364" s="177"/>
      <c r="CJ364" s="177"/>
      <c r="CK364" s="177"/>
      <c r="CL364" s="177"/>
      <c r="CM364" s="177"/>
      <c r="CN364" s="177"/>
      <c r="CO364" s="177"/>
      <c r="CP364" s="177"/>
      <c r="CQ364" s="177"/>
      <c r="CR364" s="177"/>
      <c r="CS364" s="177"/>
      <c r="CT364" s="177"/>
      <c r="CU364" s="177"/>
      <c r="CV364" s="172"/>
      <c r="CW364" s="172"/>
      <c r="CX364" s="172"/>
      <c r="CY364" s="172"/>
      <c r="CZ364" s="172"/>
      <c r="DA364" s="196"/>
      <c r="DC364" s="169"/>
      <c r="DD364" s="177"/>
      <c r="DE364" s="177"/>
      <c r="DF364" s="177"/>
      <c r="DG364" s="177"/>
      <c r="DH364" s="177"/>
      <c r="DI364" s="177"/>
      <c r="DJ364" s="177"/>
      <c r="DK364" s="177"/>
      <c r="DL364" s="177"/>
      <c r="DM364" s="177"/>
      <c r="DN364" s="177"/>
      <c r="DO364" s="177"/>
      <c r="DP364" s="177"/>
      <c r="DQ364" s="172"/>
      <c r="DR364" s="172"/>
      <c r="DS364" s="172"/>
      <c r="DT364" s="172"/>
      <c r="DU364" s="172"/>
      <c r="DV364" s="196"/>
    </row>
    <row r="365" spans="1:126" x14ac:dyDescent="0.2">
      <c r="A365" s="143" t="s">
        <v>728</v>
      </c>
      <c r="AJ365" s="133"/>
      <c r="AK365" s="133"/>
      <c r="AL365" s="183"/>
      <c r="AM365" s="183"/>
      <c r="AN365" s="183"/>
      <c r="AO365" s="183"/>
      <c r="AP365" s="183"/>
      <c r="AQ365" s="183"/>
      <c r="AR365" s="183"/>
      <c r="AS365" s="183"/>
      <c r="AT365" s="183"/>
      <c r="AU365" s="183"/>
      <c r="AV365" s="183"/>
      <c r="AW365" s="183"/>
      <c r="AX365" s="183"/>
      <c r="AY365" s="183"/>
      <c r="AZ365" s="183"/>
      <c r="BA365" s="183"/>
      <c r="BB365" s="183"/>
      <c r="BC365" s="183"/>
      <c r="BD365" s="183"/>
      <c r="BE365" s="183"/>
      <c r="BF365" s="133"/>
      <c r="CG365" s="178"/>
      <c r="CH365" s="169"/>
      <c r="CI365" s="177"/>
      <c r="CJ365" s="177"/>
      <c r="CK365" s="177"/>
      <c r="CL365" s="177"/>
      <c r="CM365" s="177"/>
      <c r="CN365" s="177"/>
      <c r="CO365" s="177"/>
      <c r="CP365" s="177"/>
      <c r="CQ365" s="177"/>
      <c r="CR365" s="177"/>
      <c r="CS365" s="177"/>
      <c r="CT365" s="177"/>
      <c r="CU365" s="177"/>
      <c r="CV365" s="172"/>
      <c r="CW365" s="172"/>
      <c r="CX365" s="172"/>
      <c r="CY365" s="172"/>
      <c r="CZ365" s="172"/>
      <c r="DA365" s="196"/>
      <c r="DC365" s="169"/>
      <c r="DD365" s="177"/>
      <c r="DE365" s="177"/>
      <c r="DF365" s="177"/>
      <c r="DG365" s="177"/>
      <c r="DH365" s="177"/>
      <c r="DI365" s="177"/>
      <c r="DJ365" s="177"/>
      <c r="DK365" s="177"/>
      <c r="DL365" s="177"/>
      <c r="DM365" s="177"/>
      <c r="DN365" s="177"/>
      <c r="DO365" s="177"/>
      <c r="DP365" s="177"/>
      <c r="DQ365" s="172"/>
      <c r="DR365" s="172"/>
      <c r="DS365" s="172"/>
      <c r="DT365" s="172"/>
      <c r="DU365" s="172"/>
      <c r="DV365" s="196"/>
    </row>
    <row r="366" spans="1:126" x14ac:dyDescent="0.2">
      <c r="A366" s="143" t="s">
        <v>729</v>
      </c>
      <c r="AJ366" s="133"/>
      <c r="AK366" s="133"/>
      <c r="AL366" s="183"/>
      <c r="AM366" s="183"/>
      <c r="AN366" s="183"/>
      <c r="AO366" s="183"/>
      <c r="AP366" s="183"/>
      <c r="AQ366" s="183"/>
      <c r="AR366" s="183"/>
      <c r="AS366" s="183"/>
      <c r="AT366" s="183"/>
      <c r="AU366" s="183"/>
      <c r="AV366" s="183"/>
      <c r="AW366" s="183"/>
      <c r="AX366" s="183"/>
      <c r="AY366" s="183"/>
      <c r="AZ366" s="183"/>
      <c r="BA366" s="183"/>
      <c r="BB366" s="183"/>
      <c r="BC366" s="183"/>
      <c r="BD366" s="183"/>
      <c r="BE366" s="183"/>
      <c r="BF366" s="133"/>
      <c r="CG366" s="179"/>
      <c r="CH366" s="169"/>
      <c r="CI366" s="177"/>
      <c r="CJ366" s="177"/>
      <c r="CK366" s="177"/>
      <c r="CL366" s="177"/>
      <c r="CM366" s="177"/>
      <c r="CN366" s="177"/>
      <c r="CO366" s="177"/>
      <c r="CP366" s="177"/>
      <c r="CQ366" s="177"/>
      <c r="CR366" s="177"/>
      <c r="CS366" s="177"/>
      <c r="CT366" s="177"/>
      <c r="CU366" s="177"/>
      <c r="CV366" s="172"/>
      <c r="CW366" s="172"/>
      <c r="CX366" s="172"/>
      <c r="CY366" s="172"/>
      <c r="CZ366" s="172"/>
      <c r="DA366" s="196"/>
      <c r="DC366" s="169"/>
      <c r="DD366" s="177"/>
      <c r="DE366" s="177"/>
      <c r="DF366" s="177"/>
      <c r="DG366" s="177"/>
      <c r="DH366" s="177"/>
      <c r="DI366" s="177"/>
      <c r="DJ366" s="177"/>
      <c r="DK366" s="177"/>
      <c r="DL366" s="177"/>
      <c r="DM366" s="177"/>
      <c r="DN366" s="177"/>
      <c r="DO366" s="177"/>
      <c r="DP366" s="177"/>
      <c r="DQ366" s="172"/>
      <c r="DR366" s="172"/>
      <c r="DS366" s="172"/>
      <c r="DT366" s="172"/>
      <c r="DU366" s="172"/>
      <c r="DV366" s="196"/>
    </row>
    <row r="367" spans="1:126" x14ac:dyDescent="0.2">
      <c r="A367" s="143" t="s">
        <v>730</v>
      </c>
      <c r="AJ367" s="133"/>
      <c r="AK367" s="133"/>
      <c r="AL367" s="183"/>
      <c r="AM367" s="183"/>
      <c r="AN367" s="183"/>
      <c r="AO367" s="183"/>
      <c r="AP367" s="183"/>
      <c r="AQ367" s="183"/>
      <c r="AR367" s="183"/>
      <c r="AS367" s="183"/>
      <c r="AT367" s="183"/>
      <c r="AU367" s="183"/>
      <c r="AV367" s="183"/>
      <c r="AW367" s="183"/>
      <c r="AX367" s="183"/>
      <c r="AY367" s="183"/>
      <c r="AZ367" s="183"/>
      <c r="BA367" s="183"/>
      <c r="BB367" s="183"/>
      <c r="BC367" s="183"/>
      <c r="BD367" s="183"/>
      <c r="BE367" s="183"/>
      <c r="BF367" s="133"/>
      <c r="CG367" s="179"/>
      <c r="CH367" s="169"/>
      <c r="CI367" s="177"/>
      <c r="CJ367" s="177"/>
      <c r="CK367" s="177"/>
      <c r="CL367" s="177"/>
      <c r="CM367" s="177"/>
      <c r="CN367" s="177"/>
      <c r="CO367" s="177"/>
      <c r="CP367" s="177"/>
      <c r="CQ367" s="177"/>
      <c r="CR367" s="177"/>
      <c r="CS367" s="177"/>
      <c r="CT367" s="177"/>
      <c r="CU367" s="177"/>
      <c r="CV367" s="172"/>
      <c r="CW367" s="172"/>
      <c r="CX367" s="172"/>
      <c r="CY367" s="172"/>
      <c r="CZ367" s="172"/>
      <c r="DA367" s="196"/>
      <c r="DC367" s="169"/>
      <c r="DD367" s="177"/>
      <c r="DE367" s="177"/>
      <c r="DF367" s="177"/>
      <c r="DG367" s="177"/>
      <c r="DH367" s="177"/>
      <c r="DI367" s="177"/>
      <c r="DJ367" s="177"/>
      <c r="DK367" s="177"/>
      <c r="DL367" s="177"/>
      <c r="DM367" s="177"/>
      <c r="DN367" s="177"/>
      <c r="DO367" s="177"/>
      <c r="DP367" s="177"/>
      <c r="DQ367" s="172"/>
      <c r="DR367" s="172"/>
      <c r="DS367" s="172"/>
      <c r="DT367" s="172"/>
      <c r="DU367" s="172"/>
      <c r="DV367" s="196"/>
    </row>
    <row r="368" spans="1:126" x14ac:dyDescent="0.2">
      <c r="A368" s="143" t="s">
        <v>731</v>
      </c>
      <c r="AJ368" s="133"/>
      <c r="AK368" s="133"/>
      <c r="AL368" s="183"/>
      <c r="AM368" s="183"/>
      <c r="AN368" s="183"/>
      <c r="AO368" s="183"/>
      <c r="AP368" s="183"/>
      <c r="AQ368" s="183"/>
      <c r="AR368" s="183"/>
      <c r="AS368" s="183"/>
      <c r="AT368" s="183"/>
      <c r="AU368" s="183"/>
      <c r="AV368" s="183"/>
      <c r="AW368" s="183"/>
      <c r="AX368" s="183"/>
      <c r="AY368" s="183"/>
      <c r="AZ368" s="183"/>
      <c r="BA368" s="183"/>
      <c r="BB368" s="183"/>
      <c r="BC368" s="183"/>
      <c r="BD368" s="183"/>
      <c r="BE368" s="183"/>
      <c r="BF368" s="133"/>
      <c r="CG368" s="179"/>
      <c r="CH368" s="169"/>
      <c r="CI368" s="177"/>
      <c r="CJ368" s="177"/>
      <c r="CK368" s="177"/>
      <c r="CL368" s="177"/>
      <c r="CM368" s="177"/>
      <c r="CN368" s="177"/>
      <c r="CO368" s="177"/>
      <c r="CP368" s="177"/>
      <c r="CQ368" s="177"/>
      <c r="CR368" s="177"/>
      <c r="CS368" s="177"/>
      <c r="CT368" s="177"/>
      <c r="CU368" s="177"/>
      <c r="CV368" s="172"/>
      <c r="CW368" s="172"/>
      <c r="CX368" s="172"/>
      <c r="CY368" s="172"/>
      <c r="CZ368" s="172"/>
      <c r="DA368" s="196"/>
      <c r="DC368" s="169"/>
      <c r="DD368" s="177"/>
      <c r="DE368" s="177"/>
      <c r="DF368" s="177"/>
      <c r="DG368" s="177"/>
      <c r="DH368" s="177"/>
      <c r="DI368" s="177"/>
      <c r="DJ368" s="177"/>
      <c r="DK368" s="177"/>
      <c r="DL368" s="177"/>
      <c r="DM368" s="177"/>
      <c r="DN368" s="177"/>
      <c r="DO368" s="177"/>
      <c r="DP368" s="177"/>
      <c r="DQ368" s="172"/>
      <c r="DR368" s="172"/>
      <c r="DS368" s="172"/>
      <c r="DT368" s="172"/>
      <c r="DU368" s="172"/>
      <c r="DV368" s="196"/>
    </row>
    <row r="369" spans="1:126" x14ac:dyDescent="0.2">
      <c r="A369" s="143" t="s">
        <v>732</v>
      </c>
      <c r="AJ369" s="133"/>
      <c r="AK369" s="133"/>
      <c r="AL369" s="183"/>
      <c r="AM369" s="183"/>
      <c r="AN369" s="183"/>
      <c r="AO369" s="183"/>
      <c r="AP369" s="183"/>
      <c r="AQ369" s="183"/>
      <c r="AR369" s="183"/>
      <c r="AS369" s="183"/>
      <c r="AT369" s="183"/>
      <c r="AU369" s="183"/>
      <c r="AV369" s="183"/>
      <c r="AW369" s="183"/>
      <c r="AX369" s="183"/>
      <c r="AY369" s="183"/>
      <c r="AZ369" s="183"/>
      <c r="BA369" s="183"/>
      <c r="BB369" s="183"/>
      <c r="BC369" s="183"/>
      <c r="BD369" s="183"/>
      <c r="BE369" s="183"/>
      <c r="BF369" s="133"/>
      <c r="CG369" s="179"/>
      <c r="CH369" s="169"/>
      <c r="CI369" s="177"/>
      <c r="CJ369" s="177"/>
      <c r="CK369" s="177"/>
      <c r="CL369" s="177"/>
      <c r="CM369" s="177"/>
      <c r="CN369" s="177"/>
      <c r="CO369" s="177"/>
      <c r="CP369" s="177"/>
      <c r="CQ369" s="177"/>
      <c r="CR369" s="177"/>
      <c r="CS369" s="177"/>
      <c r="CT369" s="177"/>
      <c r="CU369" s="177"/>
      <c r="CV369" s="172"/>
      <c r="CW369" s="172"/>
      <c r="CX369" s="172"/>
      <c r="CY369" s="172"/>
      <c r="CZ369" s="172"/>
      <c r="DA369" s="196"/>
      <c r="DC369" s="169"/>
      <c r="DD369" s="177"/>
      <c r="DE369" s="177"/>
      <c r="DF369" s="177"/>
      <c r="DG369" s="177"/>
      <c r="DH369" s="177"/>
      <c r="DI369" s="177"/>
      <c r="DJ369" s="177"/>
      <c r="DK369" s="177"/>
      <c r="DL369" s="177"/>
      <c r="DM369" s="177"/>
      <c r="DN369" s="177"/>
      <c r="DO369" s="177"/>
      <c r="DP369" s="177"/>
      <c r="DQ369" s="172"/>
      <c r="DR369" s="172"/>
      <c r="DS369" s="172"/>
      <c r="DT369" s="172"/>
      <c r="DU369" s="172"/>
      <c r="DV369" s="196"/>
    </row>
    <row r="370" spans="1:126" x14ac:dyDescent="0.2">
      <c r="A370" s="143" t="s">
        <v>733</v>
      </c>
      <c r="AJ370" s="133"/>
      <c r="AK370" s="133"/>
      <c r="AL370" s="183"/>
      <c r="AM370" s="183"/>
      <c r="AN370" s="183"/>
      <c r="AO370" s="183"/>
      <c r="AP370" s="183"/>
      <c r="AQ370" s="183"/>
      <c r="AR370" s="183"/>
      <c r="AS370" s="183"/>
      <c r="AT370" s="183"/>
      <c r="AU370" s="183"/>
      <c r="AV370" s="183"/>
      <c r="AW370" s="183"/>
      <c r="AX370" s="183"/>
      <c r="AY370" s="183"/>
      <c r="AZ370" s="183"/>
      <c r="BA370" s="183"/>
      <c r="BB370" s="183"/>
      <c r="BC370" s="183"/>
      <c r="BD370" s="183"/>
      <c r="BE370" s="183"/>
      <c r="BF370" s="133"/>
      <c r="CG370" s="179"/>
      <c r="CH370" s="169"/>
      <c r="CI370" s="177"/>
      <c r="CJ370" s="177"/>
      <c r="CK370" s="177"/>
      <c r="CL370" s="177"/>
      <c r="CM370" s="177"/>
      <c r="CN370" s="177"/>
      <c r="CO370" s="177"/>
      <c r="CP370" s="177"/>
      <c r="CQ370" s="177"/>
      <c r="CR370" s="177"/>
      <c r="CS370" s="177"/>
      <c r="CT370" s="177"/>
      <c r="CU370" s="177"/>
      <c r="CV370" s="172"/>
      <c r="CW370" s="172"/>
      <c r="CX370" s="172"/>
      <c r="CY370" s="172"/>
      <c r="CZ370" s="172"/>
      <c r="DA370" s="196"/>
      <c r="DC370" s="169"/>
      <c r="DD370" s="177"/>
      <c r="DE370" s="177"/>
      <c r="DF370" s="177"/>
      <c r="DG370" s="177"/>
      <c r="DH370" s="177"/>
      <c r="DI370" s="177"/>
      <c r="DJ370" s="177"/>
      <c r="DK370" s="177"/>
      <c r="DL370" s="177"/>
      <c r="DM370" s="177"/>
      <c r="DN370" s="177"/>
      <c r="DO370" s="177"/>
      <c r="DP370" s="177"/>
      <c r="DQ370" s="172"/>
      <c r="DR370" s="172"/>
      <c r="DS370" s="172"/>
      <c r="DT370" s="172"/>
      <c r="DU370" s="172"/>
      <c r="DV370" s="196"/>
    </row>
    <row r="371" spans="1:126" x14ac:dyDescent="0.2">
      <c r="A371" s="143" t="s">
        <v>734</v>
      </c>
      <c r="AJ371" s="133"/>
      <c r="AK371" s="133"/>
      <c r="AL371" s="183"/>
      <c r="AM371" s="183"/>
      <c r="AN371" s="183"/>
      <c r="AO371" s="183"/>
      <c r="AP371" s="183"/>
      <c r="AQ371" s="183"/>
      <c r="AR371" s="183"/>
      <c r="AS371" s="183"/>
      <c r="AT371" s="183"/>
      <c r="AU371" s="183"/>
      <c r="AV371" s="183"/>
      <c r="AW371" s="183"/>
      <c r="AX371" s="183"/>
      <c r="AY371" s="183"/>
      <c r="AZ371" s="183"/>
      <c r="BA371" s="183"/>
      <c r="BB371" s="183"/>
      <c r="BC371" s="183"/>
      <c r="BD371" s="183"/>
      <c r="BE371" s="183"/>
      <c r="BF371" s="133"/>
      <c r="CG371" s="179"/>
      <c r="CH371" s="169"/>
      <c r="CI371" s="177"/>
      <c r="CJ371" s="177"/>
      <c r="CK371" s="177"/>
      <c r="CL371" s="177"/>
      <c r="CM371" s="177"/>
      <c r="CN371" s="177"/>
      <c r="CO371" s="177"/>
      <c r="CP371" s="177"/>
      <c r="CQ371" s="177"/>
      <c r="CR371" s="177"/>
      <c r="CS371" s="177"/>
      <c r="CT371" s="177"/>
      <c r="CU371" s="177"/>
      <c r="CV371" s="172"/>
      <c r="CW371" s="172"/>
      <c r="CX371" s="172"/>
      <c r="CY371" s="172"/>
      <c r="CZ371" s="172"/>
      <c r="DA371" s="196"/>
      <c r="DC371" s="169"/>
      <c r="DD371" s="177"/>
      <c r="DE371" s="177"/>
      <c r="DF371" s="177"/>
      <c r="DG371" s="177"/>
      <c r="DH371" s="177"/>
      <c r="DI371" s="177"/>
      <c r="DJ371" s="177"/>
      <c r="DK371" s="177"/>
      <c r="DL371" s="177"/>
      <c r="DM371" s="177"/>
      <c r="DN371" s="177"/>
      <c r="DO371" s="177"/>
      <c r="DP371" s="177"/>
      <c r="DQ371" s="172"/>
      <c r="DR371" s="172"/>
      <c r="DS371" s="172"/>
      <c r="DT371" s="172"/>
      <c r="DU371" s="172"/>
      <c r="DV371" s="196"/>
    </row>
    <row r="372" spans="1:126" x14ac:dyDescent="0.2">
      <c r="A372" s="143" t="s">
        <v>735</v>
      </c>
      <c r="AJ372" s="133"/>
      <c r="AK372" s="133"/>
      <c r="AL372" s="183"/>
      <c r="AM372" s="183"/>
      <c r="AN372" s="183"/>
      <c r="AO372" s="183"/>
      <c r="AP372" s="183"/>
      <c r="AQ372" s="183"/>
      <c r="AR372" s="183"/>
      <c r="AS372" s="183"/>
      <c r="AT372" s="183"/>
      <c r="AU372" s="183"/>
      <c r="AV372" s="183"/>
      <c r="AW372" s="183"/>
      <c r="AX372" s="183"/>
      <c r="AY372" s="183"/>
      <c r="AZ372" s="183"/>
      <c r="BA372" s="183"/>
      <c r="BB372" s="183"/>
      <c r="BC372" s="183"/>
      <c r="BD372" s="183"/>
      <c r="BE372" s="183"/>
      <c r="BF372" s="133"/>
      <c r="CG372" s="179"/>
      <c r="CH372" s="169"/>
      <c r="CI372" s="177"/>
      <c r="CJ372" s="177"/>
      <c r="CK372" s="177"/>
      <c r="CL372" s="177"/>
      <c r="CM372" s="177"/>
      <c r="CN372" s="177"/>
      <c r="CO372" s="177"/>
      <c r="CP372" s="177"/>
      <c r="CQ372" s="177"/>
      <c r="CR372" s="177"/>
      <c r="CS372" s="177"/>
      <c r="CT372" s="177"/>
      <c r="CU372" s="177"/>
      <c r="CV372" s="172"/>
      <c r="CW372" s="172"/>
      <c r="CX372" s="172"/>
      <c r="CY372" s="172"/>
      <c r="CZ372" s="172"/>
      <c r="DA372" s="196"/>
      <c r="DC372" s="169"/>
      <c r="DD372" s="177"/>
      <c r="DE372" s="177"/>
      <c r="DF372" s="177"/>
      <c r="DG372" s="177"/>
      <c r="DH372" s="177"/>
      <c r="DI372" s="177"/>
      <c r="DJ372" s="177"/>
      <c r="DK372" s="177"/>
      <c r="DL372" s="177"/>
      <c r="DM372" s="177"/>
      <c r="DN372" s="177"/>
      <c r="DO372" s="177"/>
      <c r="DP372" s="177"/>
      <c r="DQ372" s="172"/>
      <c r="DR372" s="172"/>
      <c r="DS372" s="172"/>
      <c r="DT372" s="172"/>
      <c r="DU372" s="172"/>
      <c r="DV372" s="196"/>
    </row>
    <row r="373" spans="1:126" x14ac:dyDescent="0.2">
      <c r="A373" s="143" t="s">
        <v>736</v>
      </c>
      <c r="AJ373" s="133"/>
      <c r="AK373" s="133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33"/>
      <c r="CG373" s="179"/>
      <c r="CH373" s="197"/>
      <c r="CI373" s="180"/>
      <c r="CJ373" s="180"/>
      <c r="CK373" s="180"/>
      <c r="CL373" s="180"/>
      <c r="CM373" s="180"/>
      <c r="CN373" s="180"/>
      <c r="CO373" s="180"/>
      <c r="CP373" s="180"/>
      <c r="CQ373" s="180"/>
      <c r="CR373" s="180"/>
      <c r="CS373" s="180"/>
      <c r="CT373" s="180"/>
      <c r="CU373" s="180"/>
      <c r="CV373" s="173"/>
      <c r="CW373" s="173"/>
      <c r="CX373" s="173"/>
      <c r="CY373" s="173"/>
      <c r="CZ373" s="173"/>
      <c r="DA373" s="198"/>
      <c r="DC373" s="197"/>
      <c r="DD373" s="180"/>
      <c r="DE373" s="180"/>
      <c r="DF373" s="180"/>
      <c r="DG373" s="180"/>
      <c r="DH373" s="180"/>
      <c r="DI373" s="180"/>
      <c r="DJ373" s="180"/>
      <c r="DK373" s="180"/>
      <c r="DL373" s="180"/>
      <c r="DM373" s="180"/>
      <c r="DN373" s="180"/>
      <c r="DO373" s="180"/>
      <c r="DP373" s="180"/>
      <c r="DQ373" s="173"/>
      <c r="DR373" s="173"/>
      <c r="DS373" s="173"/>
      <c r="DT373" s="173"/>
      <c r="DU373" s="173"/>
      <c r="DV373" s="198"/>
    </row>
    <row r="374" spans="1:126" x14ac:dyDescent="0.2">
      <c r="A374" s="143" t="s">
        <v>737</v>
      </c>
      <c r="AJ374" s="133"/>
      <c r="AK374" s="133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33"/>
      <c r="CG374" s="179"/>
      <c r="CH374" s="197"/>
      <c r="CI374" s="180"/>
      <c r="CJ374" s="180"/>
      <c r="CK374" s="180"/>
      <c r="CL374" s="180"/>
      <c r="CM374" s="180"/>
      <c r="CN374" s="180"/>
      <c r="CO374" s="180"/>
      <c r="CP374" s="180"/>
      <c r="CQ374" s="180"/>
      <c r="CR374" s="180"/>
      <c r="CS374" s="180"/>
      <c r="CT374" s="180"/>
      <c r="CU374" s="180"/>
      <c r="CV374" s="173"/>
      <c r="CW374" s="173"/>
      <c r="CX374" s="173"/>
      <c r="CY374" s="173"/>
      <c r="CZ374" s="173"/>
      <c r="DA374" s="198"/>
      <c r="DC374" s="197"/>
      <c r="DD374" s="180"/>
      <c r="DE374" s="180"/>
      <c r="DF374" s="180"/>
      <c r="DG374" s="180"/>
      <c r="DH374" s="180"/>
      <c r="DI374" s="180"/>
      <c r="DJ374" s="180"/>
      <c r="DK374" s="180"/>
      <c r="DL374" s="180"/>
      <c r="DM374" s="180"/>
      <c r="DN374" s="180"/>
      <c r="DO374" s="180"/>
      <c r="DP374" s="180"/>
      <c r="DQ374" s="173"/>
      <c r="DR374" s="173"/>
      <c r="DS374" s="173"/>
      <c r="DT374" s="173"/>
      <c r="DU374" s="173"/>
      <c r="DV374" s="198"/>
    </row>
    <row r="375" spans="1:126" x14ac:dyDescent="0.2">
      <c r="A375" s="143" t="s">
        <v>738</v>
      </c>
      <c r="AJ375" s="133"/>
      <c r="AK375" s="133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33"/>
      <c r="CG375" s="179"/>
      <c r="CH375" s="197"/>
      <c r="CI375" s="180"/>
      <c r="CJ375" s="180"/>
      <c r="CK375" s="180"/>
      <c r="CL375" s="180"/>
      <c r="CM375" s="180"/>
      <c r="CN375" s="180"/>
      <c r="CO375" s="180"/>
      <c r="CP375" s="180"/>
      <c r="CQ375" s="180"/>
      <c r="CR375" s="180"/>
      <c r="CS375" s="180"/>
      <c r="CT375" s="180"/>
      <c r="CU375" s="180"/>
      <c r="CV375" s="173"/>
      <c r="CW375" s="173"/>
      <c r="CX375" s="173"/>
      <c r="CY375" s="173"/>
      <c r="CZ375" s="173"/>
      <c r="DA375" s="198"/>
      <c r="DC375" s="197"/>
      <c r="DD375" s="180"/>
      <c r="DE375" s="180"/>
      <c r="DF375" s="180"/>
      <c r="DG375" s="180"/>
      <c r="DH375" s="180"/>
      <c r="DI375" s="180"/>
      <c r="DJ375" s="180"/>
      <c r="DK375" s="180"/>
      <c r="DL375" s="180"/>
      <c r="DM375" s="180"/>
      <c r="DN375" s="180"/>
      <c r="DO375" s="180"/>
      <c r="DP375" s="180"/>
      <c r="DQ375" s="173"/>
      <c r="DR375" s="173"/>
      <c r="DS375" s="173"/>
      <c r="DT375" s="173"/>
      <c r="DU375" s="173"/>
      <c r="DV375" s="198"/>
    </row>
    <row r="376" spans="1:126" x14ac:dyDescent="0.2">
      <c r="A376" s="143" t="s">
        <v>739</v>
      </c>
      <c r="AJ376" s="133"/>
      <c r="AK376" s="133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33"/>
      <c r="CG376" s="179"/>
      <c r="CH376" s="197"/>
      <c r="CI376" s="180"/>
      <c r="CJ376" s="180"/>
      <c r="CK376" s="180"/>
      <c r="CL376" s="180"/>
      <c r="CM376" s="180"/>
      <c r="CN376" s="180"/>
      <c r="CO376" s="180"/>
      <c r="CP376" s="180"/>
      <c r="CQ376" s="180"/>
      <c r="CR376" s="180"/>
      <c r="CS376" s="180"/>
      <c r="CT376" s="180"/>
      <c r="CU376" s="180"/>
      <c r="CV376" s="173"/>
      <c r="CW376" s="173"/>
      <c r="CX376" s="173"/>
      <c r="CY376" s="173"/>
      <c r="CZ376" s="173"/>
      <c r="DA376" s="198"/>
      <c r="DC376" s="197"/>
      <c r="DD376" s="180"/>
      <c r="DE376" s="180"/>
      <c r="DF376" s="180"/>
      <c r="DG376" s="180"/>
      <c r="DH376" s="180"/>
      <c r="DI376" s="180"/>
      <c r="DJ376" s="180"/>
      <c r="DK376" s="180"/>
      <c r="DL376" s="180"/>
      <c r="DM376" s="180"/>
      <c r="DN376" s="180"/>
      <c r="DO376" s="180"/>
      <c r="DP376" s="180"/>
      <c r="DQ376" s="173"/>
      <c r="DR376" s="173"/>
      <c r="DS376" s="173"/>
      <c r="DT376" s="173"/>
      <c r="DU376" s="173"/>
      <c r="DV376" s="198"/>
    </row>
    <row r="377" spans="1:126" x14ac:dyDescent="0.2">
      <c r="A377" s="144" t="s">
        <v>740</v>
      </c>
      <c r="AJ377" s="133"/>
      <c r="AK377" s="133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33"/>
      <c r="CG377" s="179"/>
      <c r="CH377" s="197"/>
      <c r="CI377" s="180"/>
      <c r="CJ377" s="180"/>
      <c r="CK377" s="180"/>
      <c r="CL377" s="180"/>
      <c r="CM377" s="180"/>
      <c r="CN377" s="180"/>
      <c r="CO377" s="180"/>
      <c r="CP377" s="180"/>
      <c r="CQ377" s="180"/>
      <c r="CR377" s="180"/>
      <c r="CS377" s="180"/>
      <c r="CT377" s="180"/>
      <c r="CU377" s="180"/>
      <c r="CV377" s="173"/>
      <c r="CW377" s="173"/>
      <c r="CX377" s="173"/>
      <c r="CY377" s="173"/>
      <c r="CZ377" s="173"/>
      <c r="DA377" s="198"/>
      <c r="DC377" s="197"/>
      <c r="DD377" s="180"/>
      <c r="DE377" s="180"/>
      <c r="DF377" s="180"/>
      <c r="DG377" s="180"/>
      <c r="DH377" s="180"/>
      <c r="DI377" s="180"/>
      <c r="DJ377" s="180"/>
      <c r="DK377" s="180"/>
      <c r="DL377" s="180"/>
      <c r="DM377" s="180"/>
      <c r="DN377" s="180"/>
      <c r="DO377" s="180"/>
      <c r="DP377" s="180"/>
      <c r="DQ377" s="173"/>
      <c r="DR377" s="173"/>
      <c r="DS377" s="173"/>
      <c r="DT377" s="173"/>
      <c r="DU377" s="173"/>
      <c r="DV377" s="198"/>
    </row>
    <row r="378" spans="1:126" x14ac:dyDescent="0.2">
      <c r="A378" s="142" t="s">
        <v>741</v>
      </c>
      <c r="AJ378" s="133"/>
      <c r="AK378" s="133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33"/>
      <c r="CG378" s="176"/>
      <c r="CH378" s="197"/>
      <c r="CI378" s="180"/>
      <c r="CJ378" s="180"/>
      <c r="CK378" s="180"/>
      <c r="CL378" s="180"/>
      <c r="CM378" s="180"/>
      <c r="CN378" s="180"/>
      <c r="CO378" s="180"/>
      <c r="CP378" s="180"/>
      <c r="CQ378" s="180"/>
      <c r="CR378" s="180"/>
      <c r="CS378" s="180"/>
      <c r="CT378" s="180"/>
      <c r="CU378" s="180"/>
      <c r="CV378" s="173"/>
      <c r="CW378" s="173"/>
      <c r="CX378" s="173"/>
      <c r="CY378" s="173"/>
      <c r="CZ378" s="173"/>
      <c r="DA378" s="198"/>
      <c r="DC378" s="197"/>
      <c r="DD378" s="180"/>
      <c r="DE378" s="180"/>
      <c r="DF378" s="180"/>
      <c r="DG378" s="180"/>
      <c r="DH378" s="180"/>
      <c r="DI378" s="180"/>
      <c r="DJ378" s="180"/>
      <c r="DK378" s="180"/>
      <c r="DL378" s="180"/>
      <c r="DM378" s="180"/>
      <c r="DN378" s="180"/>
      <c r="DO378" s="180"/>
      <c r="DP378" s="180"/>
      <c r="DQ378" s="173"/>
      <c r="DR378" s="173"/>
      <c r="DS378" s="173"/>
      <c r="DT378" s="173"/>
      <c r="DU378" s="173"/>
      <c r="DV378" s="198"/>
    </row>
    <row r="379" spans="1:126" x14ac:dyDescent="0.2">
      <c r="A379" s="143" t="s">
        <v>742</v>
      </c>
      <c r="AJ379" s="133"/>
      <c r="AK379" s="133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33"/>
      <c r="CG379" s="176"/>
      <c r="CH379" s="197"/>
      <c r="CI379" s="180"/>
      <c r="CJ379" s="180"/>
      <c r="CK379" s="180"/>
      <c r="CL379" s="180"/>
      <c r="CM379" s="180"/>
      <c r="CN379" s="180"/>
      <c r="CO379" s="180"/>
      <c r="CP379" s="180"/>
      <c r="CQ379" s="180"/>
      <c r="CR379" s="180"/>
      <c r="CS379" s="180"/>
      <c r="CT379" s="180"/>
      <c r="CU379" s="180"/>
      <c r="CV379" s="173"/>
      <c r="CW379" s="173"/>
      <c r="CX379" s="173"/>
      <c r="CY379" s="173"/>
      <c r="CZ379" s="173"/>
      <c r="DA379" s="198"/>
      <c r="DC379" s="197"/>
      <c r="DD379" s="180"/>
      <c r="DE379" s="180"/>
      <c r="DF379" s="180"/>
      <c r="DG379" s="180"/>
      <c r="DH379" s="180"/>
      <c r="DI379" s="180"/>
      <c r="DJ379" s="180"/>
      <c r="DK379" s="180"/>
      <c r="DL379" s="180"/>
      <c r="DM379" s="180"/>
      <c r="DN379" s="180"/>
      <c r="DO379" s="180"/>
      <c r="DP379" s="180"/>
      <c r="DQ379" s="173"/>
      <c r="DR379" s="173"/>
      <c r="DS379" s="173"/>
      <c r="DT379" s="173"/>
      <c r="DU379" s="173"/>
      <c r="DV379" s="198"/>
    </row>
    <row r="380" spans="1:126" x14ac:dyDescent="0.2">
      <c r="A380" s="143" t="s">
        <v>743</v>
      </c>
      <c r="AJ380" s="133"/>
      <c r="AK380" s="133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33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33"/>
      <c r="CG380" s="176"/>
      <c r="CH380" s="199"/>
      <c r="CI380" s="200"/>
      <c r="CJ380" s="200"/>
      <c r="CK380" s="200"/>
      <c r="CL380" s="200"/>
      <c r="CM380" s="200"/>
      <c r="CN380" s="200"/>
      <c r="CO380" s="200"/>
      <c r="CP380" s="200"/>
      <c r="CQ380" s="201"/>
      <c r="CR380" s="202"/>
      <c r="CS380" s="200"/>
      <c r="CT380" s="200"/>
      <c r="CU380" s="200"/>
      <c r="CV380" s="203"/>
      <c r="CW380" s="203"/>
      <c r="CX380" s="203"/>
      <c r="CY380" s="203"/>
      <c r="CZ380" s="203"/>
      <c r="DA380" s="204"/>
      <c r="DC380" s="199"/>
      <c r="DD380" s="200"/>
      <c r="DE380" s="200"/>
      <c r="DF380" s="200"/>
      <c r="DG380" s="200"/>
      <c r="DH380" s="200"/>
      <c r="DI380" s="200"/>
      <c r="DJ380" s="200"/>
      <c r="DK380" s="200"/>
      <c r="DL380" s="200"/>
      <c r="DM380" s="200"/>
      <c r="DN380" s="200"/>
      <c r="DO380" s="200"/>
      <c r="DP380" s="200"/>
      <c r="DQ380" s="203"/>
      <c r="DR380" s="203"/>
      <c r="DS380" s="203"/>
      <c r="DT380" s="203"/>
      <c r="DU380" s="203"/>
      <c r="DV380" s="204"/>
    </row>
    <row r="381" spans="1:126" x14ac:dyDescent="0.2">
      <c r="A381" s="143" t="s">
        <v>744</v>
      </c>
      <c r="AJ381" s="133"/>
      <c r="AK381" s="133"/>
      <c r="AL381" s="183"/>
      <c r="AM381" s="183"/>
      <c r="AN381" s="183"/>
      <c r="AO381" s="183"/>
      <c r="AP381" s="183"/>
      <c r="AQ381" s="183"/>
      <c r="AR381" s="183"/>
      <c r="AS381" s="183"/>
      <c r="AT381" s="183"/>
      <c r="AU381" s="183"/>
      <c r="AV381" s="183"/>
      <c r="AW381" s="183"/>
      <c r="AX381" s="183"/>
      <c r="AY381" s="183"/>
      <c r="AZ381" s="183"/>
      <c r="BA381" s="183"/>
      <c r="BB381" s="183"/>
      <c r="BC381" s="183"/>
      <c r="BD381" s="183"/>
      <c r="BE381" s="183"/>
      <c r="BF381" s="133"/>
      <c r="CG381" s="176">
        <v>20</v>
      </c>
      <c r="CH381" s="192"/>
      <c r="CI381" s="193"/>
      <c r="CJ381" s="193"/>
      <c r="CK381" s="193"/>
      <c r="CL381" s="193"/>
      <c r="CM381" s="193"/>
      <c r="CN381" s="193"/>
      <c r="CO381" s="193"/>
      <c r="CP381" s="193"/>
      <c r="CQ381" s="193"/>
      <c r="CR381" s="193"/>
      <c r="CS381" s="193"/>
      <c r="CT381" s="193"/>
      <c r="CU381" s="193"/>
      <c r="CV381" s="194"/>
      <c r="CW381" s="194"/>
      <c r="CX381" s="194"/>
      <c r="CY381" s="194"/>
      <c r="CZ381" s="194"/>
      <c r="DA381" s="195"/>
      <c r="DC381" s="192"/>
      <c r="DD381" s="193"/>
      <c r="DE381" s="193"/>
      <c r="DF381" s="193"/>
      <c r="DG381" s="193"/>
      <c r="DH381" s="193"/>
      <c r="DI381" s="193"/>
      <c r="DJ381" s="193"/>
      <c r="DK381" s="193"/>
      <c r="DL381" s="193"/>
      <c r="DM381" s="193"/>
      <c r="DN381" s="193"/>
      <c r="DO381" s="193"/>
      <c r="DP381" s="193"/>
      <c r="DQ381" s="194"/>
      <c r="DR381" s="194"/>
      <c r="DS381" s="194"/>
      <c r="DT381" s="194"/>
      <c r="DU381" s="194"/>
      <c r="DV381" s="195"/>
    </row>
    <row r="382" spans="1:126" x14ac:dyDescent="0.2">
      <c r="A382" s="143" t="s">
        <v>745</v>
      </c>
      <c r="AJ382" s="133"/>
      <c r="AK382" s="133"/>
      <c r="AL382" s="183"/>
      <c r="AM382" s="183"/>
      <c r="AN382" s="183"/>
      <c r="AO382" s="183"/>
      <c r="AP382" s="183"/>
      <c r="AQ382" s="183"/>
      <c r="AR382" s="183"/>
      <c r="AS382" s="183"/>
      <c r="AT382" s="183"/>
      <c r="AU382" s="183"/>
      <c r="AV382" s="183"/>
      <c r="AW382" s="183"/>
      <c r="AX382" s="183"/>
      <c r="AY382" s="183"/>
      <c r="AZ382" s="183"/>
      <c r="BA382" s="183"/>
      <c r="BB382" s="183"/>
      <c r="BC382" s="183"/>
      <c r="BD382" s="183"/>
      <c r="BE382" s="183"/>
      <c r="BF382" s="133"/>
      <c r="CG382" s="176"/>
      <c r="CH382" s="169"/>
      <c r="CI382" s="177"/>
      <c r="CJ382" s="177"/>
      <c r="CK382" s="177"/>
      <c r="CL382" s="177"/>
      <c r="CM382" s="177"/>
      <c r="CN382" s="177"/>
      <c r="CO382" s="177"/>
      <c r="CP382" s="177"/>
      <c r="CQ382" s="177"/>
      <c r="CR382" s="177"/>
      <c r="CS382" s="177"/>
      <c r="CT382" s="177"/>
      <c r="CU382" s="177"/>
      <c r="CV382" s="172"/>
      <c r="CW382" s="172"/>
      <c r="CX382" s="172"/>
      <c r="CY382" s="172"/>
      <c r="CZ382" s="172"/>
      <c r="DA382" s="196"/>
      <c r="DC382" s="169"/>
      <c r="DD382" s="177"/>
      <c r="DE382" s="177"/>
      <c r="DF382" s="177"/>
      <c r="DG382" s="177"/>
      <c r="DH382" s="177"/>
      <c r="DI382" s="177"/>
      <c r="DJ382" s="177"/>
      <c r="DK382" s="177"/>
      <c r="DL382" s="177"/>
      <c r="DM382" s="177"/>
      <c r="DN382" s="177"/>
      <c r="DO382" s="177"/>
      <c r="DP382" s="177"/>
      <c r="DQ382" s="172"/>
      <c r="DR382" s="172"/>
      <c r="DS382" s="172"/>
      <c r="DT382" s="172"/>
      <c r="DU382" s="172"/>
      <c r="DV382" s="196"/>
    </row>
    <row r="383" spans="1:126" x14ac:dyDescent="0.2">
      <c r="A383" s="143" t="s">
        <v>746</v>
      </c>
      <c r="AJ383" s="133"/>
      <c r="AK383" s="133"/>
      <c r="AL383" s="183"/>
      <c r="AM383" s="183"/>
      <c r="AN383" s="183"/>
      <c r="AO383" s="183"/>
      <c r="AP383" s="183"/>
      <c r="AQ383" s="183"/>
      <c r="AR383" s="183"/>
      <c r="AS383" s="183"/>
      <c r="AT383" s="183"/>
      <c r="AU383" s="183"/>
      <c r="AV383" s="183"/>
      <c r="AW383" s="183"/>
      <c r="AX383" s="183"/>
      <c r="AY383" s="183"/>
      <c r="AZ383" s="183"/>
      <c r="BA383" s="183"/>
      <c r="BB383" s="183"/>
      <c r="BC383" s="183"/>
      <c r="BD383" s="183"/>
      <c r="BE383" s="183"/>
      <c r="BF383" s="133"/>
      <c r="CG383" s="131"/>
      <c r="CH383" s="169"/>
      <c r="CI383" s="177"/>
      <c r="CJ383" s="177"/>
      <c r="CK383" s="177"/>
      <c r="CL383" s="177"/>
      <c r="CM383" s="177"/>
      <c r="CN383" s="177"/>
      <c r="CO383" s="177"/>
      <c r="CP383" s="177"/>
      <c r="CQ383" s="177"/>
      <c r="CR383" s="177"/>
      <c r="CS383" s="177"/>
      <c r="CT383" s="177"/>
      <c r="CU383" s="177"/>
      <c r="CV383" s="172"/>
      <c r="CW383" s="172"/>
      <c r="CX383" s="172"/>
      <c r="CY383" s="172"/>
      <c r="CZ383" s="172"/>
      <c r="DA383" s="196"/>
      <c r="DC383" s="169"/>
      <c r="DD383" s="177"/>
      <c r="DE383" s="177"/>
      <c r="DF383" s="177"/>
      <c r="DG383" s="177"/>
      <c r="DH383" s="177"/>
      <c r="DI383" s="177"/>
      <c r="DJ383" s="177"/>
      <c r="DK383" s="177"/>
      <c r="DL383" s="177"/>
      <c r="DM383" s="177"/>
      <c r="DN383" s="177"/>
      <c r="DO383" s="177"/>
      <c r="DP383" s="177"/>
      <c r="DQ383" s="172"/>
      <c r="DR383" s="172"/>
      <c r="DS383" s="172"/>
      <c r="DT383" s="172"/>
      <c r="DU383" s="172"/>
      <c r="DV383" s="196"/>
    </row>
    <row r="384" spans="1:126" x14ac:dyDescent="0.2">
      <c r="A384" s="143" t="s">
        <v>747</v>
      </c>
      <c r="AJ384" s="133"/>
      <c r="AK384" s="133"/>
      <c r="AL384" s="183"/>
      <c r="AM384" s="183"/>
      <c r="AN384" s="183"/>
      <c r="AO384" s="183"/>
      <c r="AP384" s="183"/>
      <c r="AQ384" s="183"/>
      <c r="AR384" s="183"/>
      <c r="AS384" s="183"/>
      <c r="AT384" s="183"/>
      <c r="AU384" s="183"/>
      <c r="AV384" s="183"/>
      <c r="AW384" s="183"/>
      <c r="AX384" s="183"/>
      <c r="AY384" s="183"/>
      <c r="AZ384" s="183"/>
      <c r="BA384" s="183"/>
      <c r="BB384" s="183"/>
      <c r="BC384" s="183"/>
      <c r="BD384" s="183"/>
      <c r="BE384" s="183"/>
      <c r="BF384" s="133"/>
      <c r="CG384" s="176"/>
      <c r="CH384" s="169"/>
      <c r="CI384" s="177"/>
      <c r="CJ384" s="177"/>
      <c r="CK384" s="177"/>
      <c r="CL384" s="177"/>
      <c r="CM384" s="177"/>
      <c r="CN384" s="177"/>
      <c r="CO384" s="177"/>
      <c r="CP384" s="177"/>
      <c r="CQ384" s="177"/>
      <c r="CR384" s="177"/>
      <c r="CS384" s="177"/>
      <c r="CT384" s="177"/>
      <c r="CU384" s="177"/>
      <c r="CV384" s="172"/>
      <c r="CW384" s="172"/>
      <c r="CX384" s="172"/>
      <c r="CY384" s="172"/>
      <c r="CZ384" s="172"/>
      <c r="DA384" s="196"/>
      <c r="DC384" s="169"/>
      <c r="DD384" s="177"/>
      <c r="DE384" s="177"/>
      <c r="DF384" s="177"/>
      <c r="DG384" s="177"/>
      <c r="DH384" s="177"/>
      <c r="DI384" s="177"/>
      <c r="DJ384" s="177"/>
      <c r="DK384" s="177"/>
      <c r="DL384" s="177"/>
      <c r="DM384" s="177"/>
      <c r="DN384" s="177"/>
      <c r="DO384" s="177"/>
      <c r="DP384" s="177"/>
      <c r="DQ384" s="172"/>
      <c r="DR384" s="172"/>
      <c r="DS384" s="172"/>
      <c r="DT384" s="172"/>
      <c r="DU384" s="172"/>
      <c r="DV384" s="196"/>
    </row>
    <row r="385" spans="1:126" x14ac:dyDescent="0.2">
      <c r="A385" s="143" t="s">
        <v>748</v>
      </c>
      <c r="AJ385" s="133"/>
      <c r="AK385" s="133"/>
      <c r="AL385" s="183"/>
      <c r="AM385" s="183"/>
      <c r="AN385" s="183"/>
      <c r="AO385" s="183"/>
      <c r="AP385" s="183"/>
      <c r="AQ385" s="183"/>
      <c r="AR385" s="183"/>
      <c r="AS385" s="183"/>
      <c r="AT385" s="183"/>
      <c r="AU385" s="183"/>
      <c r="AV385" s="183"/>
      <c r="AW385" s="183"/>
      <c r="AX385" s="183"/>
      <c r="AY385" s="183"/>
      <c r="AZ385" s="183"/>
      <c r="BA385" s="183"/>
      <c r="BB385" s="183"/>
      <c r="BC385" s="183"/>
      <c r="BD385" s="183"/>
      <c r="BE385" s="183"/>
      <c r="BF385" s="133"/>
      <c r="CG385" s="178"/>
      <c r="CH385" s="169"/>
      <c r="CI385" s="177"/>
      <c r="CJ385" s="177"/>
      <c r="CK385" s="177"/>
      <c r="CL385" s="177"/>
      <c r="CM385" s="177"/>
      <c r="CN385" s="177"/>
      <c r="CO385" s="177"/>
      <c r="CP385" s="177"/>
      <c r="CQ385" s="177"/>
      <c r="CR385" s="177"/>
      <c r="CS385" s="177"/>
      <c r="CT385" s="177"/>
      <c r="CU385" s="177"/>
      <c r="CV385" s="172"/>
      <c r="CW385" s="172"/>
      <c r="CX385" s="172"/>
      <c r="CY385" s="172"/>
      <c r="CZ385" s="172"/>
      <c r="DA385" s="196"/>
      <c r="DC385" s="169"/>
      <c r="DD385" s="177"/>
      <c r="DE385" s="177"/>
      <c r="DF385" s="177"/>
      <c r="DG385" s="177"/>
      <c r="DH385" s="177"/>
      <c r="DI385" s="177"/>
      <c r="DJ385" s="177"/>
      <c r="DK385" s="177"/>
      <c r="DL385" s="177"/>
      <c r="DM385" s="177"/>
      <c r="DN385" s="177"/>
      <c r="DO385" s="177"/>
      <c r="DP385" s="177"/>
      <c r="DQ385" s="172"/>
      <c r="DR385" s="172"/>
      <c r="DS385" s="172"/>
      <c r="DT385" s="172"/>
      <c r="DU385" s="172"/>
      <c r="DV385" s="196"/>
    </row>
    <row r="386" spans="1:126" x14ac:dyDescent="0.2">
      <c r="A386" s="143" t="s">
        <v>749</v>
      </c>
      <c r="AJ386" s="133"/>
      <c r="AK386" s="133"/>
      <c r="AL386" s="183"/>
      <c r="AM386" s="183"/>
      <c r="AN386" s="183"/>
      <c r="AO386" s="183"/>
      <c r="AP386" s="183"/>
      <c r="AQ386" s="183"/>
      <c r="AR386" s="183"/>
      <c r="AS386" s="183"/>
      <c r="AT386" s="183"/>
      <c r="AU386" s="183"/>
      <c r="AV386" s="183"/>
      <c r="AW386" s="183"/>
      <c r="AX386" s="183"/>
      <c r="AY386" s="183"/>
      <c r="AZ386" s="183"/>
      <c r="BA386" s="183"/>
      <c r="BB386" s="183"/>
      <c r="BC386" s="183"/>
      <c r="BD386" s="183"/>
      <c r="BE386" s="183"/>
      <c r="BF386" s="133"/>
      <c r="CG386" s="179"/>
      <c r="CH386" s="169"/>
      <c r="CI386" s="177"/>
      <c r="CJ386" s="177"/>
      <c r="CK386" s="177"/>
      <c r="CL386" s="177"/>
      <c r="CM386" s="177"/>
      <c r="CN386" s="177"/>
      <c r="CO386" s="177"/>
      <c r="CP386" s="177"/>
      <c r="CQ386" s="177"/>
      <c r="CR386" s="177"/>
      <c r="CS386" s="177"/>
      <c r="CT386" s="177"/>
      <c r="CU386" s="177"/>
      <c r="CV386" s="172"/>
      <c r="CW386" s="172"/>
      <c r="CX386" s="172"/>
      <c r="CY386" s="172"/>
      <c r="CZ386" s="172"/>
      <c r="DA386" s="196"/>
      <c r="DC386" s="169"/>
      <c r="DD386" s="177"/>
      <c r="DE386" s="177"/>
      <c r="DF386" s="177"/>
      <c r="DG386" s="177"/>
      <c r="DH386" s="177"/>
      <c r="DI386" s="177"/>
      <c r="DJ386" s="177"/>
      <c r="DK386" s="177"/>
      <c r="DL386" s="177"/>
      <c r="DM386" s="177"/>
      <c r="DN386" s="177"/>
      <c r="DO386" s="177"/>
      <c r="DP386" s="177"/>
      <c r="DQ386" s="172"/>
      <c r="DR386" s="172"/>
      <c r="DS386" s="172"/>
      <c r="DT386" s="172"/>
      <c r="DU386" s="172"/>
      <c r="DV386" s="196"/>
    </row>
    <row r="387" spans="1:126" x14ac:dyDescent="0.2">
      <c r="A387" s="143" t="s">
        <v>750</v>
      </c>
      <c r="AJ387" s="133"/>
      <c r="AK387" s="133"/>
      <c r="AL387" s="183"/>
      <c r="AM387" s="183"/>
      <c r="AN387" s="183"/>
      <c r="AO387" s="183"/>
      <c r="AP387" s="183"/>
      <c r="AQ387" s="183"/>
      <c r="AR387" s="183"/>
      <c r="AS387" s="183"/>
      <c r="AT387" s="183"/>
      <c r="AU387" s="183"/>
      <c r="AV387" s="183"/>
      <c r="AW387" s="183"/>
      <c r="AX387" s="183"/>
      <c r="AY387" s="183"/>
      <c r="AZ387" s="183"/>
      <c r="BA387" s="183"/>
      <c r="BB387" s="183"/>
      <c r="BC387" s="183"/>
      <c r="BD387" s="183"/>
      <c r="BE387" s="183"/>
      <c r="BF387" s="133"/>
      <c r="CG387" s="179"/>
      <c r="CH387" s="169"/>
      <c r="CI387" s="177"/>
      <c r="CJ387" s="177"/>
      <c r="CK387" s="177"/>
      <c r="CL387" s="177"/>
      <c r="CM387" s="177"/>
      <c r="CN387" s="177"/>
      <c r="CO387" s="177"/>
      <c r="CP387" s="177"/>
      <c r="CQ387" s="177"/>
      <c r="CR387" s="177"/>
      <c r="CS387" s="177"/>
      <c r="CT387" s="177"/>
      <c r="CU387" s="177"/>
      <c r="CV387" s="172"/>
      <c r="CW387" s="172"/>
      <c r="CX387" s="172"/>
      <c r="CY387" s="172"/>
      <c r="CZ387" s="172"/>
      <c r="DA387" s="196"/>
      <c r="DC387" s="169"/>
      <c r="DD387" s="177"/>
      <c r="DE387" s="177"/>
      <c r="DF387" s="177"/>
      <c r="DG387" s="177"/>
      <c r="DH387" s="177"/>
      <c r="DI387" s="177"/>
      <c r="DJ387" s="177"/>
      <c r="DK387" s="177"/>
      <c r="DL387" s="177"/>
      <c r="DM387" s="177"/>
      <c r="DN387" s="177"/>
      <c r="DO387" s="177"/>
      <c r="DP387" s="177"/>
      <c r="DQ387" s="172"/>
      <c r="DR387" s="172"/>
      <c r="DS387" s="172"/>
      <c r="DT387" s="172"/>
      <c r="DU387" s="172"/>
      <c r="DV387" s="196"/>
    </row>
    <row r="388" spans="1:126" x14ac:dyDescent="0.2">
      <c r="A388" s="143" t="s">
        <v>751</v>
      </c>
      <c r="AJ388" s="133"/>
      <c r="AK388" s="133"/>
      <c r="AL388" s="183"/>
      <c r="AM388" s="183"/>
      <c r="AN388" s="183"/>
      <c r="AO388" s="183"/>
      <c r="AP388" s="183"/>
      <c r="AQ388" s="183"/>
      <c r="AR388" s="183"/>
      <c r="AS388" s="183"/>
      <c r="AT388" s="183"/>
      <c r="AU388" s="183"/>
      <c r="AV388" s="183"/>
      <c r="AW388" s="183"/>
      <c r="AX388" s="183"/>
      <c r="AY388" s="183"/>
      <c r="AZ388" s="183"/>
      <c r="BA388" s="183"/>
      <c r="BB388" s="183"/>
      <c r="BC388" s="183"/>
      <c r="BD388" s="183"/>
      <c r="BE388" s="183"/>
      <c r="BF388" s="133"/>
      <c r="CG388" s="179"/>
      <c r="CH388" s="169"/>
      <c r="CI388" s="177"/>
      <c r="CJ388" s="177"/>
      <c r="CK388" s="177"/>
      <c r="CL388" s="177"/>
      <c r="CM388" s="177"/>
      <c r="CN388" s="177"/>
      <c r="CO388" s="177"/>
      <c r="CP388" s="177"/>
      <c r="CQ388" s="177"/>
      <c r="CR388" s="177"/>
      <c r="CS388" s="177"/>
      <c r="CT388" s="177"/>
      <c r="CU388" s="177"/>
      <c r="CV388" s="172"/>
      <c r="CW388" s="172"/>
      <c r="CX388" s="172"/>
      <c r="CY388" s="172"/>
      <c r="CZ388" s="172"/>
      <c r="DA388" s="196"/>
      <c r="DC388" s="169"/>
      <c r="DD388" s="177"/>
      <c r="DE388" s="177"/>
      <c r="DF388" s="177"/>
      <c r="DG388" s="177"/>
      <c r="DH388" s="177"/>
      <c r="DI388" s="177"/>
      <c r="DJ388" s="177"/>
      <c r="DK388" s="177"/>
      <c r="DL388" s="177"/>
      <c r="DM388" s="177"/>
      <c r="DN388" s="177"/>
      <c r="DO388" s="177"/>
      <c r="DP388" s="177"/>
      <c r="DQ388" s="172"/>
      <c r="DR388" s="172"/>
      <c r="DS388" s="172"/>
      <c r="DT388" s="172"/>
      <c r="DU388" s="172"/>
      <c r="DV388" s="196"/>
    </row>
    <row r="389" spans="1:126" x14ac:dyDescent="0.2">
      <c r="A389" s="143" t="s">
        <v>752</v>
      </c>
      <c r="AJ389" s="133"/>
      <c r="AK389" s="133"/>
      <c r="AL389" s="183"/>
      <c r="AM389" s="183"/>
      <c r="AN389" s="183"/>
      <c r="AO389" s="183"/>
      <c r="AP389" s="183"/>
      <c r="AQ389" s="183"/>
      <c r="AR389" s="183"/>
      <c r="AS389" s="183"/>
      <c r="AT389" s="183"/>
      <c r="AU389" s="183"/>
      <c r="AV389" s="183"/>
      <c r="AW389" s="183"/>
      <c r="AX389" s="183"/>
      <c r="AY389" s="183"/>
      <c r="AZ389" s="183"/>
      <c r="BA389" s="183"/>
      <c r="BB389" s="183"/>
      <c r="BC389" s="183"/>
      <c r="BD389" s="183"/>
      <c r="BE389" s="183"/>
      <c r="BF389" s="133"/>
      <c r="CG389" s="179"/>
      <c r="CH389" s="169"/>
      <c r="CI389" s="177"/>
      <c r="CJ389" s="177"/>
      <c r="CK389" s="177"/>
      <c r="CL389" s="177"/>
      <c r="CM389" s="177"/>
      <c r="CN389" s="177"/>
      <c r="CO389" s="177"/>
      <c r="CP389" s="177"/>
      <c r="CQ389" s="177"/>
      <c r="CR389" s="177"/>
      <c r="CS389" s="177"/>
      <c r="CT389" s="177"/>
      <c r="CU389" s="177"/>
      <c r="CV389" s="172"/>
      <c r="CW389" s="172"/>
      <c r="CX389" s="172"/>
      <c r="CY389" s="172"/>
      <c r="CZ389" s="172"/>
      <c r="DA389" s="196"/>
      <c r="DC389" s="169"/>
      <c r="DD389" s="177"/>
      <c r="DE389" s="177"/>
      <c r="DF389" s="177"/>
      <c r="DG389" s="177"/>
      <c r="DH389" s="177"/>
      <c r="DI389" s="177"/>
      <c r="DJ389" s="177"/>
      <c r="DK389" s="177"/>
      <c r="DL389" s="177"/>
      <c r="DM389" s="177"/>
      <c r="DN389" s="177"/>
      <c r="DO389" s="177"/>
      <c r="DP389" s="177"/>
      <c r="DQ389" s="172"/>
      <c r="DR389" s="172"/>
      <c r="DS389" s="172"/>
      <c r="DT389" s="172"/>
      <c r="DU389" s="172"/>
      <c r="DV389" s="196"/>
    </row>
    <row r="390" spans="1:126" x14ac:dyDescent="0.2">
      <c r="A390" s="143" t="s">
        <v>753</v>
      </c>
      <c r="AJ390" s="133"/>
      <c r="AK390" s="133"/>
      <c r="AL390" s="183"/>
      <c r="AM390" s="183"/>
      <c r="AN390" s="183"/>
      <c r="AO390" s="183"/>
      <c r="AP390" s="183"/>
      <c r="AQ390" s="183"/>
      <c r="AR390" s="183"/>
      <c r="AS390" s="183"/>
      <c r="AT390" s="183"/>
      <c r="AU390" s="183"/>
      <c r="AV390" s="183"/>
      <c r="AW390" s="183"/>
      <c r="AX390" s="183"/>
      <c r="AY390" s="183"/>
      <c r="AZ390" s="183"/>
      <c r="BA390" s="183"/>
      <c r="BB390" s="183"/>
      <c r="BC390" s="183"/>
      <c r="BD390" s="183"/>
      <c r="BE390" s="183"/>
      <c r="BF390" s="133"/>
      <c r="CG390" s="179"/>
      <c r="CH390" s="169"/>
      <c r="CI390" s="177"/>
      <c r="CJ390" s="177"/>
      <c r="CK390" s="177"/>
      <c r="CL390" s="177"/>
      <c r="CM390" s="177"/>
      <c r="CN390" s="177"/>
      <c r="CO390" s="177"/>
      <c r="CP390" s="177"/>
      <c r="CQ390" s="177"/>
      <c r="CR390" s="177"/>
      <c r="CS390" s="177"/>
      <c r="CT390" s="177"/>
      <c r="CU390" s="177"/>
      <c r="CV390" s="172"/>
      <c r="CW390" s="172"/>
      <c r="CX390" s="172"/>
      <c r="CY390" s="172"/>
      <c r="CZ390" s="172"/>
      <c r="DA390" s="196"/>
      <c r="DC390" s="169"/>
      <c r="DD390" s="177"/>
      <c r="DE390" s="177"/>
      <c r="DF390" s="177"/>
      <c r="DG390" s="177"/>
      <c r="DH390" s="177"/>
      <c r="DI390" s="177"/>
      <c r="DJ390" s="177"/>
      <c r="DK390" s="177"/>
      <c r="DL390" s="177"/>
      <c r="DM390" s="177"/>
      <c r="DN390" s="177"/>
      <c r="DO390" s="177"/>
      <c r="DP390" s="177"/>
      <c r="DQ390" s="172"/>
      <c r="DR390" s="172"/>
      <c r="DS390" s="172"/>
      <c r="DT390" s="172"/>
      <c r="DU390" s="172"/>
      <c r="DV390" s="196"/>
    </row>
    <row r="391" spans="1:126" x14ac:dyDescent="0.2">
      <c r="A391" s="143" t="s">
        <v>754</v>
      </c>
      <c r="AJ391" s="133"/>
      <c r="AK391" s="133"/>
      <c r="AL391" s="183"/>
      <c r="AM391" s="183"/>
      <c r="AN391" s="183"/>
      <c r="AO391" s="183"/>
      <c r="AP391" s="183"/>
      <c r="AQ391" s="183"/>
      <c r="AR391" s="183"/>
      <c r="AS391" s="183"/>
      <c r="AT391" s="183"/>
      <c r="AU391" s="183"/>
      <c r="AV391" s="183"/>
      <c r="AW391" s="183"/>
      <c r="AX391" s="183"/>
      <c r="AY391" s="183"/>
      <c r="AZ391" s="183"/>
      <c r="BA391" s="183"/>
      <c r="BB391" s="183"/>
      <c r="BC391" s="183"/>
      <c r="BD391" s="183"/>
      <c r="BE391" s="183"/>
      <c r="BF391" s="133"/>
      <c r="CG391" s="179"/>
      <c r="CH391" s="169"/>
      <c r="CI391" s="177"/>
      <c r="CJ391" s="177"/>
      <c r="CK391" s="177"/>
      <c r="CL391" s="177"/>
      <c r="CM391" s="177"/>
      <c r="CN391" s="177"/>
      <c r="CO391" s="177"/>
      <c r="CP391" s="177"/>
      <c r="CQ391" s="177"/>
      <c r="CR391" s="177"/>
      <c r="CS391" s="177"/>
      <c r="CT391" s="177"/>
      <c r="CU391" s="177"/>
      <c r="CV391" s="172"/>
      <c r="CW391" s="172"/>
      <c r="CX391" s="172"/>
      <c r="CY391" s="172"/>
      <c r="CZ391" s="172"/>
      <c r="DA391" s="196"/>
      <c r="DC391" s="169"/>
      <c r="DD391" s="177"/>
      <c r="DE391" s="177"/>
      <c r="DF391" s="177"/>
      <c r="DG391" s="177"/>
      <c r="DH391" s="177"/>
      <c r="DI391" s="177"/>
      <c r="DJ391" s="177"/>
      <c r="DK391" s="177"/>
      <c r="DL391" s="177"/>
      <c r="DM391" s="177"/>
      <c r="DN391" s="177"/>
      <c r="DO391" s="177"/>
      <c r="DP391" s="177"/>
      <c r="DQ391" s="172"/>
      <c r="DR391" s="172"/>
      <c r="DS391" s="172"/>
      <c r="DT391" s="172"/>
      <c r="DU391" s="172"/>
      <c r="DV391" s="196"/>
    </row>
    <row r="392" spans="1:126" x14ac:dyDescent="0.2">
      <c r="A392" s="143" t="s">
        <v>755</v>
      </c>
      <c r="AJ392" s="133"/>
      <c r="AK392" s="133"/>
      <c r="AL392" s="183"/>
      <c r="AM392" s="183"/>
      <c r="AN392" s="183"/>
      <c r="AO392" s="183"/>
      <c r="AP392" s="183"/>
      <c r="AQ392" s="183"/>
      <c r="AR392" s="183"/>
      <c r="AS392" s="183"/>
      <c r="AT392" s="183"/>
      <c r="AU392" s="183"/>
      <c r="AV392" s="183"/>
      <c r="AW392" s="183"/>
      <c r="AX392" s="183"/>
      <c r="AY392" s="183"/>
      <c r="AZ392" s="183"/>
      <c r="BA392" s="183"/>
      <c r="BB392" s="183"/>
      <c r="BC392" s="183"/>
      <c r="BD392" s="183"/>
      <c r="BE392" s="183"/>
      <c r="BF392" s="133"/>
      <c r="CG392" s="179"/>
      <c r="CH392" s="169"/>
      <c r="CI392" s="177"/>
      <c r="CJ392" s="177"/>
      <c r="CK392" s="177"/>
      <c r="CL392" s="177"/>
      <c r="CM392" s="177"/>
      <c r="CN392" s="177"/>
      <c r="CO392" s="177"/>
      <c r="CP392" s="177"/>
      <c r="CQ392" s="177"/>
      <c r="CR392" s="177"/>
      <c r="CS392" s="177"/>
      <c r="CT392" s="177"/>
      <c r="CU392" s="177"/>
      <c r="CV392" s="172"/>
      <c r="CW392" s="172"/>
      <c r="CX392" s="172"/>
      <c r="CY392" s="172"/>
      <c r="CZ392" s="172"/>
      <c r="DA392" s="196"/>
      <c r="DC392" s="169"/>
      <c r="DD392" s="177"/>
      <c r="DE392" s="177"/>
      <c r="DF392" s="177"/>
      <c r="DG392" s="177"/>
      <c r="DH392" s="177"/>
      <c r="DI392" s="177"/>
      <c r="DJ392" s="177"/>
      <c r="DK392" s="177"/>
      <c r="DL392" s="177"/>
      <c r="DM392" s="177"/>
      <c r="DN392" s="177"/>
      <c r="DO392" s="177"/>
      <c r="DP392" s="177"/>
      <c r="DQ392" s="172"/>
      <c r="DR392" s="172"/>
      <c r="DS392" s="172"/>
      <c r="DT392" s="172"/>
      <c r="DU392" s="172"/>
      <c r="DV392" s="196"/>
    </row>
    <row r="393" spans="1:126" x14ac:dyDescent="0.2">
      <c r="A393" s="143" t="s">
        <v>756</v>
      </c>
      <c r="AJ393" s="133"/>
      <c r="AK393" s="133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33"/>
      <c r="CG393" s="179"/>
      <c r="CH393" s="197"/>
      <c r="CI393" s="180"/>
      <c r="CJ393" s="180"/>
      <c r="CK393" s="180"/>
      <c r="CL393" s="180"/>
      <c r="CM393" s="180"/>
      <c r="CN393" s="180"/>
      <c r="CO393" s="180"/>
      <c r="CP393" s="180"/>
      <c r="CQ393" s="180"/>
      <c r="CR393" s="180"/>
      <c r="CS393" s="180"/>
      <c r="CT393" s="180"/>
      <c r="CU393" s="180"/>
      <c r="CV393" s="173"/>
      <c r="CW393" s="173"/>
      <c r="CX393" s="173"/>
      <c r="CY393" s="173"/>
      <c r="CZ393" s="173"/>
      <c r="DA393" s="198"/>
      <c r="DC393" s="197"/>
      <c r="DD393" s="180"/>
      <c r="DE393" s="180"/>
      <c r="DF393" s="180"/>
      <c r="DG393" s="180"/>
      <c r="DH393" s="180"/>
      <c r="DI393" s="180"/>
      <c r="DJ393" s="180"/>
      <c r="DK393" s="180"/>
      <c r="DL393" s="180"/>
      <c r="DM393" s="180"/>
      <c r="DN393" s="180"/>
      <c r="DO393" s="180"/>
      <c r="DP393" s="180"/>
      <c r="DQ393" s="173"/>
      <c r="DR393" s="173"/>
      <c r="DS393" s="173"/>
      <c r="DT393" s="173"/>
      <c r="DU393" s="173"/>
      <c r="DV393" s="198"/>
    </row>
    <row r="394" spans="1:126" x14ac:dyDescent="0.2">
      <c r="A394" s="143" t="s">
        <v>757</v>
      </c>
      <c r="AJ394" s="133"/>
      <c r="AK394" s="133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33"/>
      <c r="CG394" s="179"/>
      <c r="CH394" s="197"/>
      <c r="CI394" s="180"/>
      <c r="CJ394" s="180"/>
      <c r="CK394" s="180"/>
      <c r="CL394" s="180"/>
      <c r="CM394" s="180"/>
      <c r="CN394" s="180"/>
      <c r="CO394" s="180"/>
      <c r="CP394" s="180"/>
      <c r="CQ394" s="180"/>
      <c r="CR394" s="180"/>
      <c r="CS394" s="180"/>
      <c r="CT394" s="180"/>
      <c r="CU394" s="180"/>
      <c r="CV394" s="173"/>
      <c r="CW394" s="173"/>
      <c r="CX394" s="173"/>
      <c r="CY394" s="173"/>
      <c r="CZ394" s="173"/>
      <c r="DA394" s="198"/>
      <c r="DC394" s="197"/>
      <c r="DD394" s="180"/>
      <c r="DE394" s="180"/>
      <c r="DF394" s="180"/>
      <c r="DG394" s="180"/>
      <c r="DH394" s="180"/>
      <c r="DI394" s="180"/>
      <c r="DJ394" s="180"/>
      <c r="DK394" s="180"/>
      <c r="DL394" s="180"/>
      <c r="DM394" s="180"/>
      <c r="DN394" s="180"/>
      <c r="DO394" s="180"/>
      <c r="DP394" s="180"/>
      <c r="DQ394" s="173"/>
      <c r="DR394" s="173"/>
      <c r="DS394" s="173"/>
      <c r="DT394" s="173"/>
      <c r="DU394" s="173"/>
      <c r="DV394" s="198"/>
    </row>
    <row r="395" spans="1:126" x14ac:dyDescent="0.2">
      <c r="A395" s="143" t="s">
        <v>758</v>
      </c>
      <c r="AJ395" s="133"/>
      <c r="AK395" s="133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33"/>
      <c r="CG395" s="179"/>
      <c r="CH395" s="197"/>
      <c r="CI395" s="180"/>
      <c r="CJ395" s="180"/>
      <c r="CK395" s="180"/>
      <c r="CL395" s="180"/>
      <c r="CM395" s="180"/>
      <c r="CN395" s="180"/>
      <c r="CO395" s="180"/>
      <c r="CP395" s="180"/>
      <c r="CQ395" s="180"/>
      <c r="CR395" s="180"/>
      <c r="CS395" s="180"/>
      <c r="CT395" s="180"/>
      <c r="CU395" s="180"/>
      <c r="CV395" s="173"/>
      <c r="CW395" s="173"/>
      <c r="CX395" s="173"/>
      <c r="CY395" s="173"/>
      <c r="CZ395" s="173"/>
      <c r="DA395" s="198"/>
      <c r="DC395" s="197"/>
      <c r="DD395" s="180"/>
      <c r="DE395" s="180"/>
      <c r="DF395" s="180"/>
      <c r="DG395" s="180"/>
      <c r="DH395" s="180"/>
      <c r="DI395" s="180"/>
      <c r="DJ395" s="180"/>
      <c r="DK395" s="180"/>
      <c r="DL395" s="180"/>
      <c r="DM395" s="180"/>
      <c r="DN395" s="180"/>
      <c r="DO395" s="180"/>
      <c r="DP395" s="180"/>
      <c r="DQ395" s="173"/>
      <c r="DR395" s="173"/>
      <c r="DS395" s="173"/>
      <c r="DT395" s="173"/>
      <c r="DU395" s="173"/>
      <c r="DV395" s="198"/>
    </row>
    <row r="396" spans="1:126" x14ac:dyDescent="0.2">
      <c r="A396" s="143" t="s">
        <v>759</v>
      </c>
      <c r="AJ396" s="133"/>
      <c r="AK396" s="133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33"/>
      <c r="CG396" s="179"/>
      <c r="CH396" s="197"/>
      <c r="CI396" s="180"/>
      <c r="CJ396" s="180"/>
      <c r="CK396" s="180"/>
      <c r="CL396" s="180"/>
      <c r="CM396" s="180"/>
      <c r="CN396" s="180"/>
      <c r="CO396" s="180"/>
      <c r="CP396" s="180"/>
      <c r="CQ396" s="180"/>
      <c r="CR396" s="180"/>
      <c r="CS396" s="180"/>
      <c r="CT396" s="180"/>
      <c r="CU396" s="180"/>
      <c r="CV396" s="173"/>
      <c r="CW396" s="173"/>
      <c r="CX396" s="173"/>
      <c r="CY396" s="173"/>
      <c r="CZ396" s="173"/>
      <c r="DA396" s="198"/>
      <c r="DC396" s="197"/>
      <c r="DD396" s="180"/>
      <c r="DE396" s="180"/>
      <c r="DF396" s="180"/>
      <c r="DG396" s="180"/>
      <c r="DH396" s="180"/>
      <c r="DI396" s="180"/>
      <c r="DJ396" s="180"/>
      <c r="DK396" s="180"/>
      <c r="DL396" s="180"/>
      <c r="DM396" s="180"/>
      <c r="DN396" s="180"/>
      <c r="DO396" s="180"/>
      <c r="DP396" s="180"/>
      <c r="DQ396" s="173"/>
      <c r="DR396" s="173"/>
      <c r="DS396" s="173"/>
      <c r="DT396" s="173"/>
      <c r="DU396" s="173"/>
      <c r="DV396" s="198"/>
    </row>
    <row r="397" spans="1:126" x14ac:dyDescent="0.2">
      <c r="A397" s="144" t="s">
        <v>760</v>
      </c>
      <c r="AJ397" s="133"/>
      <c r="AK397" s="133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33"/>
      <c r="CG397" s="179"/>
      <c r="CH397" s="197"/>
      <c r="CI397" s="180"/>
      <c r="CJ397" s="180"/>
      <c r="CK397" s="180"/>
      <c r="CL397" s="180"/>
      <c r="CM397" s="180"/>
      <c r="CN397" s="180"/>
      <c r="CO397" s="180"/>
      <c r="CP397" s="180"/>
      <c r="CQ397" s="180"/>
      <c r="CR397" s="180"/>
      <c r="CS397" s="180"/>
      <c r="CT397" s="180"/>
      <c r="CU397" s="180"/>
      <c r="CV397" s="173"/>
      <c r="CW397" s="173"/>
      <c r="CX397" s="173"/>
      <c r="CY397" s="173"/>
      <c r="CZ397" s="173"/>
      <c r="DA397" s="198"/>
      <c r="DC397" s="197"/>
      <c r="DD397" s="180"/>
      <c r="DE397" s="180"/>
      <c r="DF397" s="180"/>
      <c r="DG397" s="180"/>
      <c r="DH397" s="180"/>
      <c r="DI397" s="180"/>
      <c r="DJ397" s="180"/>
      <c r="DK397" s="180"/>
      <c r="DL397" s="180"/>
      <c r="DM397" s="180"/>
      <c r="DN397" s="180"/>
      <c r="DO397" s="180"/>
      <c r="DP397" s="180"/>
      <c r="DQ397" s="173"/>
      <c r="DR397" s="173"/>
      <c r="DS397" s="173"/>
      <c r="DT397" s="173"/>
      <c r="DU397" s="173"/>
      <c r="DV397" s="198"/>
    </row>
    <row r="398" spans="1:126" x14ac:dyDescent="0.2">
      <c r="A398" s="142" t="s">
        <v>761</v>
      </c>
      <c r="AJ398" s="133"/>
      <c r="AK398" s="133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33"/>
      <c r="CG398" s="176"/>
      <c r="CH398" s="197"/>
      <c r="CI398" s="180"/>
      <c r="CJ398" s="180"/>
      <c r="CK398" s="180"/>
      <c r="CL398" s="180"/>
      <c r="CM398" s="180"/>
      <c r="CN398" s="180"/>
      <c r="CO398" s="180"/>
      <c r="CP398" s="180"/>
      <c r="CQ398" s="180"/>
      <c r="CR398" s="180"/>
      <c r="CS398" s="180"/>
      <c r="CT398" s="180"/>
      <c r="CU398" s="180"/>
      <c r="CV398" s="173"/>
      <c r="CW398" s="173"/>
      <c r="CX398" s="173"/>
      <c r="CY398" s="173"/>
      <c r="CZ398" s="173"/>
      <c r="DA398" s="198"/>
      <c r="DC398" s="197"/>
      <c r="DD398" s="180"/>
      <c r="DE398" s="180"/>
      <c r="DF398" s="180"/>
      <c r="DG398" s="180"/>
      <c r="DH398" s="180"/>
      <c r="DI398" s="180"/>
      <c r="DJ398" s="180"/>
      <c r="DK398" s="180"/>
      <c r="DL398" s="180"/>
      <c r="DM398" s="180"/>
      <c r="DN398" s="180"/>
      <c r="DO398" s="180"/>
      <c r="DP398" s="180"/>
      <c r="DQ398" s="173"/>
      <c r="DR398" s="173"/>
      <c r="DS398" s="173"/>
      <c r="DT398" s="173"/>
      <c r="DU398" s="173"/>
      <c r="DV398" s="198"/>
    </row>
    <row r="399" spans="1:126" x14ac:dyDescent="0.2">
      <c r="A399" s="143" t="s">
        <v>762</v>
      </c>
      <c r="AJ399" s="133"/>
      <c r="AK399" s="133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33"/>
      <c r="CG399" s="176"/>
      <c r="CH399" s="197"/>
      <c r="CI399" s="180"/>
      <c r="CJ399" s="180"/>
      <c r="CK399" s="180"/>
      <c r="CL399" s="180"/>
      <c r="CM399" s="180"/>
      <c r="CN399" s="180"/>
      <c r="CO399" s="180"/>
      <c r="CP399" s="180"/>
      <c r="CQ399" s="180"/>
      <c r="CR399" s="180"/>
      <c r="CS399" s="180"/>
      <c r="CT399" s="180"/>
      <c r="CU399" s="180"/>
      <c r="CV399" s="173"/>
      <c r="CW399" s="173"/>
      <c r="CX399" s="173"/>
      <c r="CY399" s="173"/>
      <c r="CZ399" s="173"/>
      <c r="DA399" s="198"/>
      <c r="DC399" s="197"/>
      <c r="DD399" s="180"/>
      <c r="DE399" s="180"/>
      <c r="DF399" s="180"/>
      <c r="DG399" s="180"/>
      <c r="DH399" s="180"/>
      <c r="DI399" s="180"/>
      <c r="DJ399" s="180"/>
      <c r="DK399" s="180"/>
      <c r="DL399" s="180"/>
      <c r="DM399" s="180"/>
      <c r="DN399" s="180"/>
      <c r="DO399" s="180"/>
      <c r="DP399" s="180"/>
      <c r="DQ399" s="173"/>
      <c r="DR399" s="173"/>
      <c r="DS399" s="173"/>
      <c r="DT399" s="173"/>
      <c r="DU399" s="173"/>
      <c r="DV399" s="198"/>
    </row>
    <row r="400" spans="1:126" x14ac:dyDescent="0.2">
      <c r="A400" s="143" t="s">
        <v>763</v>
      </c>
      <c r="AJ400" s="133"/>
      <c r="AK400" s="133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33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33"/>
      <c r="CG400" s="176"/>
      <c r="CH400" s="199"/>
      <c r="CI400" s="200"/>
      <c r="CJ400" s="200"/>
      <c r="CK400" s="200"/>
      <c r="CL400" s="200"/>
      <c r="CM400" s="200"/>
      <c r="CN400" s="200"/>
      <c r="CO400" s="200"/>
      <c r="CP400" s="200"/>
      <c r="CQ400" s="201"/>
      <c r="CR400" s="202"/>
      <c r="CS400" s="200"/>
      <c r="CT400" s="200"/>
      <c r="CU400" s="200"/>
      <c r="CV400" s="203"/>
      <c r="CW400" s="203"/>
      <c r="CX400" s="203"/>
      <c r="CY400" s="203"/>
      <c r="CZ400" s="203"/>
      <c r="DA400" s="204"/>
      <c r="DC400" s="199"/>
      <c r="DD400" s="200"/>
      <c r="DE400" s="200"/>
      <c r="DF400" s="200"/>
      <c r="DG400" s="200"/>
      <c r="DH400" s="200"/>
      <c r="DI400" s="200"/>
      <c r="DJ400" s="200"/>
      <c r="DK400" s="200"/>
      <c r="DL400" s="200"/>
      <c r="DM400" s="200"/>
      <c r="DN400" s="200"/>
      <c r="DO400" s="200"/>
      <c r="DP400" s="200"/>
      <c r="DQ400" s="203"/>
      <c r="DR400" s="203"/>
      <c r="DS400" s="203"/>
      <c r="DT400" s="203"/>
      <c r="DU400" s="203"/>
      <c r="DV400" s="204"/>
    </row>
    <row r="401" spans="1:126" x14ac:dyDescent="0.2">
      <c r="A401" s="143" t="s">
        <v>764</v>
      </c>
      <c r="AJ401" s="133"/>
      <c r="AK401" s="133"/>
      <c r="AL401" s="183"/>
      <c r="AM401" s="183"/>
      <c r="AN401" s="183"/>
      <c r="AO401" s="183"/>
      <c r="AP401" s="183"/>
      <c r="AQ401" s="183"/>
      <c r="AR401" s="183"/>
      <c r="AS401" s="183"/>
      <c r="AT401" s="183"/>
      <c r="AU401" s="183"/>
      <c r="AV401" s="183"/>
      <c r="AW401" s="183"/>
      <c r="AX401" s="183"/>
      <c r="AY401" s="183"/>
      <c r="AZ401" s="183"/>
      <c r="BA401" s="183"/>
      <c r="BB401" s="183"/>
      <c r="BC401" s="183"/>
      <c r="BD401" s="183"/>
      <c r="BE401" s="183"/>
      <c r="BF401" s="133"/>
      <c r="CG401" s="176">
        <v>21</v>
      </c>
      <c r="CH401" s="192"/>
      <c r="CI401" s="193"/>
      <c r="CJ401" s="193"/>
      <c r="CK401" s="193"/>
      <c r="CL401" s="193"/>
      <c r="CM401" s="193"/>
      <c r="CN401" s="193"/>
      <c r="CO401" s="193"/>
      <c r="CP401" s="193"/>
      <c r="CQ401" s="193"/>
      <c r="CR401" s="193"/>
      <c r="CS401" s="193"/>
      <c r="CT401" s="193"/>
      <c r="CU401" s="193"/>
      <c r="CV401" s="194"/>
      <c r="CW401" s="194"/>
      <c r="CX401" s="194"/>
      <c r="CY401" s="194"/>
      <c r="CZ401" s="194"/>
      <c r="DA401" s="195"/>
      <c r="DC401" s="192"/>
      <c r="DD401" s="193"/>
      <c r="DE401" s="193"/>
      <c r="DF401" s="193"/>
      <c r="DG401" s="193"/>
      <c r="DH401" s="193"/>
      <c r="DI401" s="193"/>
      <c r="DJ401" s="193"/>
      <c r="DK401" s="193"/>
      <c r="DL401" s="193"/>
      <c r="DM401" s="193"/>
      <c r="DN401" s="193"/>
      <c r="DO401" s="193"/>
      <c r="DP401" s="193"/>
      <c r="DQ401" s="194"/>
      <c r="DR401" s="194"/>
      <c r="DS401" s="194"/>
      <c r="DT401" s="194"/>
      <c r="DU401" s="194"/>
      <c r="DV401" s="195"/>
    </row>
    <row r="402" spans="1:126" x14ac:dyDescent="0.2">
      <c r="A402" s="143" t="s">
        <v>765</v>
      </c>
      <c r="AJ402" s="133"/>
      <c r="AK402" s="133"/>
      <c r="AL402" s="183"/>
      <c r="AM402" s="183"/>
      <c r="AN402" s="183"/>
      <c r="AO402" s="183"/>
      <c r="AP402" s="183"/>
      <c r="AQ402" s="183"/>
      <c r="AR402" s="183"/>
      <c r="AS402" s="183"/>
      <c r="AT402" s="183"/>
      <c r="AU402" s="183"/>
      <c r="AV402" s="183"/>
      <c r="AW402" s="183"/>
      <c r="AX402" s="183"/>
      <c r="AY402" s="183"/>
      <c r="AZ402" s="183"/>
      <c r="BA402" s="183"/>
      <c r="BB402" s="183"/>
      <c r="BC402" s="183"/>
      <c r="BD402" s="183"/>
      <c r="BE402" s="183"/>
      <c r="BF402" s="133"/>
      <c r="CG402" s="176"/>
      <c r="CH402" s="169"/>
      <c r="CI402" s="177"/>
      <c r="CJ402" s="177"/>
      <c r="CK402" s="177"/>
      <c r="CL402" s="177"/>
      <c r="CM402" s="177"/>
      <c r="CN402" s="177"/>
      <c r="CO402" s="177"/>
      <c r="CP402" s="177"/>
      <c r="CQ402" s="177"/>
      <c r="CR402" s="177"/>
      <c r="CS402" s="177"/>
      <c r="CT402" s="177"/>
      <c r="CU402" s="177"/>
      <c r="CV402" s="172"/>
      <c r="CW402" s="172"/>
      <c r="CX402" s="172"/>
      <c r="CY402" s="172"/>
      <c r="CZ402" s="172"/>
      <c r="DA402" s="196"/>
      <c r="DC402" s="169"/>
      <c r="DD402" s="177"/>
      <c r="DE402" s="177"/>
      <c r="DF402" s="177"/>
      <c r="DG402" s="177"/>
      <c r="DH402" s="177"/>
      <c r="DI402" s="177"/>
      <c r="DJ402" s="177"/>
      <c r="DK402" s="177"/>
      <c r="DL402" s="177"/>
      <c r="DM402" s="177"/>
      <c r="DN402" s="177"/>
      <c r="DO402" s="177"/>
      <c r="DP402" s="177"/>
      <c r="DQ402" s="172"/>
      <c r="DR402" s="172"/>
      <c r="DS402" s="172"/>
      <c r="DT402" s="172"/>
      <c r="DU402" s="172"/>
      <c r="DV402" s="196"/>
    </row>
    <row r="403" spans="1:126" x14ac:dyDescent="0.2">
      <c r="A403" s="143" t="s">
        <v>766</v>
      </c>
      <c r="AJ403" s="133"/>
      <c r="AK403" s="133"/>
      <c r="AL403" s="183"/>
      <c r="AM403" s="183"/>
      <c r="AN403" s="183"/>
      <c r="AO403" s="183"/>
      <c r="AP403" s="183"/>
      <c r="AQ403" s="183"/>
      <c r="AR403" s="183"/>
      <c r="AS403" s="183"/>
      <c r="AT403" s="183"/>
      <c r="AU403" s="183"/>
      <c r="AV403" s="183"/>
      <c r="AW403" s="183"/>
      <c r="AX403" s="183"/>
      <c r="AY403" s="183"/>
      <c r="AZ403" s="183"/>
      <c r="BA403" s="183"/>
      <c r="BB403" s="183"/>
      <c r="BC403" s="183"/>
      <c r="BD403" s="183"/>
      <c r="BE403" s="183"/>
      <c r="BF403" s="133"/>
      <c r="CG403" s="131"/>
      <c r="CH403" s="169"/>
      <c r="CI403" s="177"/>
      <c r="CJ403" s="177"/>
      <c r="CK403" s="177"/>
      <c r="CL403" s="177"/>
      <c r="CM403" s="177"/>
      <c r="CN403" s="177"/>
      <c r="CO403" s="177"/>
      <c r="CP403" s="177"/>
      <c r="CQ403" s="177"/>
      <c r="CR403" s="177"/>
      <c r="CS403" s="177"/>
      <c r="CT403" s="177"/>
      <c r="CU403" s="177"/>
      <c r="CV403" s="172"/>
      <c r="CW403" s="172"/>
      <c r="CX403" s="172"/>
      <c r="CY403" s="172"/>
      <c r="CZ403" s="172"/>
      <c r="DA403" s="196"/>
      <c r="DC403" s="169"/>
      <c r="DD403" s="177"/>
      <c r="DE403" s="177"/>
      <c r="DF403" s="177"/>
      <c r="DG403" s="177"/>
      <c r="DH403" s="177"/>
      <c r="DI403" s="177"/>
      <c r="DJ403" s="177"/>
      <c r="DK403" s="177"/>
      <c r="DL403" s="177"/>
      <c r="DM403" s="177"/>
      <c r="DN403" s="177"/>
      <c r="DO403" s="177"/>
      <c r="DP403" s="177"/>
      <c r="DQ403" s="172"/>
      <c r="DR403" s="172"/>
      <c r="DS403" s="172"/>
      <c r="DT403" s="172"/>
      <c r="DU403" s="172"/>
      <c r="DV403" s="196"/>
    </row>
    <row r="404" spans="1:126" x14ac:dyDescent="0.2">
      <c r="A404" s="143" t="s">
        <v>767</v>
      </c>
      <c r="AJ404" s="133"/>
      <c r="AK404" s="133"/>
      <c r="AL404" s="183"/>
      <c r="AM404" s="183"/>
      <c r="AN404" s="183"/>
      <c r="AO404" s="183"/>
      <c r="AP404" s="183"/>
      <c r="AQ404" s="183"/>
      <c r="AR404" s="183"/>
      <c r="AS404" s="183"/>
      <c r="AT404" s="183"/>
      <c r="AU404" s="183"/>
      <c r="AV404" s="183"/>
      <c r="AW404" s="183"/>
      <c r="AX404" s="183"/>
      <c r="AY404" s="183"/>
      <c r="AZ404" s="183"/>
      <c r="BA404" s="183"/>
      <c r="BB404" s="183"/>
      <c r="BC404" s="183"/>
      <c r="BD404" s="183"/>
      <c r="BE404" s="183"/>
      <c r="BF404" s="133"/>
      <c r="CG404" s="176"/>
      <c r="CH404" s="169"/>
      <c r="CI404" s="177"/>
      <c r="CJ404" s="177"/>
      <c r="CK404" s="177"/>
      <c r="CL404" s="177"/>
      <c r="CM404" s="177"/>
      <c r="CN404" s="177"/>
      <c r="CO404" s="177"/>
      <c r="CP404" s="177"/>
      <c r="CQ404" s="177"/>
      <c r="CR404" s="177"/>
      <c r="CS404" s="177"/>
      <c r="CT404" s="177"/>
      <c r="CU404" s="177"/>
      <c r="CV404" s="172"/>
      <c r="CW404" s="172"/>
      <c r="CX404" s="172"/>
      <c r="CY404" s="172"/>
      <c r="CZ404" s="172"/>
      <c r="DA404" s="196"/>
      <c r="DC404" s="169"/>
      <c r="DD404" s="177"/>
      <c r="DE404" s="177"/>
      <c r="DF404" s="177"/>
      <c r="DG404" s="177"/>
      <c r="DH404" s="177"/>
      <c r="DI404" s="177"/>
      <c r="DJ404" s="177"/>
      <c r="DK404" s="177"/>
      <c r="DL404" s="177"/>
      <c r="DM404" s="177"/>
      <c r="DN404" s="177"/>
      <c r="DO404" s="177"/>
      <c r="DP404" s="177"/>
      <c r="DQ404" s="172"/>
      <c r="DR404" s="172"/>
      <c r="DS404" s="172"/>
      <c r="DT404" s="172"/>
      <c r="DU404" s="172"/>
      <c r="DV404" s="196"/>
    </row>
    <row r="405" spans="1:126" x14ac:dyDescent="0.2">
      <c r="A405" s="143" t="s">
        <v>768</v>
      </c>
      <c r="AJ405" s="133"/>
      <c r="AK405" s="133"/>
      <c r="AL405" s="183"/>
      <c r="AM405" s="183"/>
      <c r="AN405" s="183"/>
      <c r="AO405" s="183"/>
      <c r="AP405" s="183"/>
      <c r="AQ405" s="183"/>
      <c r="AR405" s="183"/>
      <c r="AS405" s="183"/>
      <c r="AT405" s="183"/>
      <c r="AU405" s="183"/>
      <c r="AV405" s="183"/>
      <c r="AW405" s="183"/>
      <c r="AX405" s="183"/>
      <c r="AY405" s="183"/>
      <c r="AZ405" s="183"/>
      <c r="BA405" s="183"/>
      <c r="BB405" s="183"/>
      <c r="BC405" s="183"/>
      <c r="BD405" s="183"/>
      <c r="BE405" s="183"/>
      <c r="BF405" s="133"/>
      <c r="CG405" s="178"/>
      <c r="CH405" s="169"/>
      <c r="CI405" s="177"/>
      <c r="CJ405" s="177"/>
      <c r="CK405" s="177"/>
      <c r="CL405" s="177"/>
      <c r="CM405" s="177"/>
      <c r="CN405" s="177"/>
      <c r="CO405" s="177"/>
      <c r="CP405" s="177"/>
      <c r="CQ405" s="177"/>
      <c r="CR405" s="177"/>
      <c r="CS405" s="177"/>
      <c r="CT405" s="177"/>
      <c r="CU405" s="177"/>
      <c r="CV405" s="172"/>
      <c r="CW405" s="172"/>
      <c r="CX405" s="172"/>
      <c r="CY405" s="172"/>
      <c r="CZ405" s="172"/>
      <c r="DA405" s="196"/>
      <c r="DC405" s="169"/>
      <c r="DD405" s="177"/>
      <c r="DE405" s="177"/>
      <c r="DF405" s="177"/>
      <c r="DG405" s="177"/>
      <c r="DH405" s="177"/>
      <c r="DI405" s="177"/>
      <c r="DJ405" s="177"/>
      <c r="DK405" s="177"/>
      <c r="DL405" s="177"/>
      <c r="DM405" s="177"/>
      <c r="DN405" s="177"/>
      <c r="DO405" s="177"/>
      <c r="DP405" s="177"/>
      <c r="DQ405" s="172"/>
      <c r="DR405" s="172"/>
      <c r="DS405" s="172"/>
      <c r="DT405" s="172"/>
      <c r="DU405" s="172"/>
      <c r="DV405" s="196"/>
    </row>
    <row r="406" spans="1:126" x14ac:dyDescent="0.2">
      <c r="A406" s="143" t="s">
        <v>769</v>
      </c>
      <c r="AJ406" s="133"/>
      <c r="AK406" s="133"/>
      <c r="AL406" s="183"/>
      <c r="AM406" s="183"/>
      <c r="AN406" s="183"/>
      <c r="AO406" s="183"/>
      <c r="AP406" s="183"/>
      <c r="AQ406" s="183"/>
      <c r="AR406" s="183"/>
      <c r="AS406" s="183"/>
      <c r="AT406" s="183"/>
      <c r="AU406" s="183"/>
      <c r="AV406" s="183"/>
      <c r="AW406" s="183"/>
      <c r="AX406" s="183"/>
      <c r="AY406" s="183"/>
      <c r="AZ406" s="183"/>
      <c r="BA406" s="183"/>
      <c r="BB406" s="183"/>
      <c r="BC406" s="183"/>
      <c r="BD406" s="183"/>
      <c r="BE406" s="183"/>
      <c r="BF406" s="133"/>
      <c r="CG406" s="179"/>
      <c r="CH406" s="169"/>
      <c r="CI406" s="177"/>
      <c r="CJ406" s="177"/>
      <c r="CK406" s="177"/>
      <c r="CL406" s="177"/>
      <c r="CM406" s="177"/>
      <c r="CN406" s="177"/>
      <c r="CO406" s="177"/>
      <c r="CP406" s="177"/>
      <c r="CQ406" s="177"/>
      <c r="CR406" s="177"/>
      <c r="CS406" s="177"/>
      <c r="CT406" s="177"/>
      <c r="CU406" s="177"/>
      <c r="CV406" s="172"/>
      <c r="CW406" s="172"/>
      <c r="CX406" s="172"/>
      <c r="CY406" s="172"/>
      <c r="CZ406" s="172"/>
      <c r="DA406" s="196"/>
      <c r="DC406" s="169"/>
      <c r="DD406" s="177"/>
      <c r="DE406" s="177"/>
      <c r="DF406" s="177"/>
      <c r="DG406" s="177"/>
      <c r="DH406" s="177"/>
      <c r="DI406" s="177"/>
      <c r="DJ406" s="177"/>
      <c r="DK406" s="177"/>
      <c r="DL406" s="177"/>
      <c r="DM406" s="177"/>
      <c r="DN406" s="177"/>
      <c r="DO406" s="177"/>
      <c r="DP406" s="177"/>
      <c r="DQ406" s="172"/>
      <c r="DR406" s="172"/>
      <c r="DS406" s="172"/>
      <c r="DT406" s="172"/>
      <c r="DU406" s="172"/>
      <c r="DV406" s="196"/>
    </row>
    <row r="407" spans="1:126" x14ac:dyDescent="0.2">
      <c r="A407" s="143" t="s">
        <v>770</v>
      </c>
      <c r="AJ407" s="133"/>
      <c r="AK407" s="133"/>
      <c r="AL407" s="183"/>
      <c r="AM407" s="183"/>
      <c r="AN407" s="183"/>
      <c r="AO407" s="183"/>
      <c r="AP407" s="183"/>
      <c r="AQ407" s="183"/>
      <c r="AR407" s="183"/>
      <c r="AS407" s="183"/>
      <c r="AT407" s="183"/>
      <c r="AU407" s="183"/>
      <c r="AV407" s="183"/>
      <c r="AW407" s="183"/>
      <c r="AX407" s="183"/>
      <c r="AY407" s="183"/>
      <c r="AZ407" s="183"/>
      <c r="BA407" s="183"/>
      <c r="BB407" s="183"/>
      <c r="BC407" s="183"/>
      <c r="BD407" s="183"/>
      <c r="BE407" s="183"/>
      <c r="BF407" s="133"/>
      <c r="CG407" s="179"/>
      <c r="CH407" s="169"/>
      <c r="CI407" s="177"/>
      <c r="CJ407" s="177"/>
      <c r="CK407" s="177"/>
      <c r="CL407" s="177"/>
      <c r="CM407" s="177"/>
      <c r="CN407" s="177"/>
      <c r="CO407" s="177"/>
      <c r="CP407" s="177"/>
      <c r="CQ407" s="177"/>
      <c r="CR407" s="177"/>
      <c r="CS407" s="177"/>
      <c r="CT407" s="177"/>
      <c r="CU407" s="177"/>
      <c r="CV407" s="172"/>
      <c r="CW407" s="172"/>
      <c r="CX407" s="172"/>
      <c r="CY407" s="172"/>
      <c r="CZ407" s="172"/>
      <c r="DA407" s="196"/>
      <c r="DC407" s="169"/>
      <c r="DD407" s="177"/>
      <c r="DE407" s="177"/>
      <c r="DF407" s="177"/>
      <c r="DG407" s="177"/>
      <c r="DH407" s="177"/>
      <c r="DI407" s="177"/>
      <c r="DJ407" s="177"/>
      <c r="DK407" s="177"/>
      <c r="DL407" s="177"/>
      <c r="DM407" s="177"/>
      <c r="DN407" s="177"/>
      <c r="DO407" s="177"/>
      <c r="DP407" s="177"/>
      <c r="DQ407" s="172"/>
      <c r="DR407" s="172"/>
      <c r="DS407" s="172"/>
      <c r="DT407" s="172"/>
      <c r="DU407" s="172"/>
      <c r="DV407" s="196"/>
    </row>
    <row r="408" spans="1:126" x14ac:dyDescent="0.2">
      <c r="A408" s="143" t="s">
        <v>771</v>
      </c>
      <c r="AJ408" s="133"/>
      <c r="AK408" s="133"/>
      <c r="AL408" s="183"/>
      <c r="AM408" s="183"/>
      <c r="AN408" s="183"/>
      <c r="AO408" s="183"/>
      <c r="AP408" s="183"/>
      <c r="AQ408" s="183"/>
      <c r="AR408" s="183"/>
      <c r="AS408" s="183"/>
      <c r="AT408" s="183"/>
      <c r="AU408" s="183"/>
      <c r="AV408" s="183"/>
      <c r="AW408" s="183"/>
      <c r="AX408" s="183"/>
      <c r="AY408" s="183"/>
      <c r="AZ408" s="183"/>
      <c r="BA408" s="183"/>
      <c r="BB408" s="183"/>
      <c r="BC408" s="183"/>
      <c r="BD408" s="183"/>
      <c r="BE408" s="183"/>
      <c r="BF408" s="133"/>
      <c r="CG408" s="179"/>
      <c r="CH408" s="169"/>
      <c r="CI408" s="177"/>
      <c r="CJ408" s="177"/>
      <c r="CK408" s="177"/>
      <c r="CL408" s="177"/>
      <c r="CM408" s="177"/>
      <c r="CN408" s="177"/>
      <c r="CO408" s="177"/>
      <c r="CP408" s="177"/>
      <c r="CQ408" s="177"/>
      <c r="CR408" s="177"/>
      <c r="CS408" s="177"/>
      <c r="CT408" s="177"/>
      <c r="CU408" s="177"/>
      <c r="CV408" s="172"/>
      <c r="CW408" s="172"/>
      <c r="CX408" s="172"/>
      <c r="CY408" s="172"/>
      <c r="CZ408" s="172"/>
      <c r="DA408" s="196"/>
      <c r="DC408" s="169"/>
      <c r="DD408" s="177"/>
      <c r="DE408" s="177"/>
      <c r="DF408" s="177"/>
      <c r="DG408" s="177"/>
      <c r="DH408" s="177"/>
      <c r="DI408" s="177"/>
      <c r="DJ408" s="177"/>
      <c r="DK408" s="177"/>
      <c r="DL408" s="177"/>
      <c r="DM408" s="177"/>
      <c r="DN408" s="177"/>
      <c r="DO408" s="177"/>
      <c r="DP408" s="177"/>
      <c r="DQ408" s="172"/>
      <c r="DR408" s="172"/>
      <c r="DS408" s="172"/>
      <c r="DT408" s="172"/>
      <c r="DU408" s="172"/>
      <c r="DV408" s="196"/>
    </row>
    <row r="409" spans="1:126" x14ac:dyDescent="0.2">
      <c r="A409" s="143" t="s">
        <v>772</v>
      </c>
      <c r="AJ409" s="133"/>
      <c r="AK409" s="133"/>
      <c r="AL409" s="183"/>
      <c r="AM409" s="183"/>
      <c r="AN409" s="183"/>
      <c r="AO409" s="183"/>
      <c r="AP409" s="183"/>
      <c r="AQ409" s="183"/>
      <c r="AR409" s="183"/>
      <c r="AS409" s="183"/>
      <c r="AT409" s="183"/>
      <c r="AU409" s="183"/>
      <c r="AV409" s="183"/>
      <c r="AW409" s="183"/>
      <c r="AX409" s="183"/>
      <c r="AY409" s="183"/>
      <c r="AZ409" s="183"/>
      <c r="BA409" s="183"/>
      <c r="BB409" s="183"/>
      <c r="BC409" s="183"/>
      <c r="BD409" s="183"/>
      <c r="BE409" s="183"/>
      <c r="BF409" s="133"/>
      <c r="CG409" s="179"/>
      <c r="CH409" s="169"/>
      <c r="CI409" s="177"/>
      <c r="CJ409" s="177"/>
      <c r="CK409" s="177"/>
      <c r="CL409" s="177"/>
      <c r="CM409" s="177"/>
      <c r="CN409" s="177"/>
      <c r="CO409" s="177"/>
      <c r="CP409" s="177"/>
      <c r="CQ409" s="177"/>
      <c r="CR409" s="177"/>
      <c r="CS409" s="177"/>
      <c r="CT409" s="177"/>
      <c r="CU409" s="177"/>
      <c r="CV409" s="172"/>
      <c r="CW409" s="172"/>
      <c r="CX409" s="172"/>
      <c r="CY409" s="172"/>
      <c r="CZ409" s="172"/>
      <c r="DA409" s="196"/>
      <c r="DC409" s="169"/>
      <c r="DD409" s="177"/>
      <c r="DE409" s="177"/>
      <c r="DF409" s="177"/>
      <c r="DG409" s="177"/>
      <c r="DH409" s="177"/>
      <c r="DI409" s="177"/>
      <c r="DJ409" s="177"/>
      <c r="DK409" s="177"/>
      <c r="DL409" s="177"/>
      <c r="DM409" s="177"/>
      <c r="DN409" s="177"/>
      <c r="DO409" s="177"/>
      <c r="DP409" s="177"/>
      <c r="DQ409" s="172"/>
      <c r="DR409" s="172"/>
      <c r="DS409" s="172"/>
      <c r="DT409" s="172"/>
      <c r="DU409" s="172"/>
      <c r="DV409" s="196"/>
    </row>
    <row r="410" spans="1:126" x14ac:dyDescent="0.2">
      <c r="A410" s="143" t="s">
        <v>773</v>
      </c>
      <c r="AJ410" s="133"/>
      <c r="AK410" s="133"/>
      <c r="AL410" s="183"/>
      <c r="AM410" s="183"/>
      <c r="AN410" s="183"/>
      <c r="AO410" s="183"/>
      <c r="AP410" s="183"/>
      <c r="AQ410" s="183"/>
      <c r="AR410" s="183"/>
      <c r="AS410" s="183"/>
      <c r="AT410" s="183"/>
      <c r="AU410" s="183"/>
      <c r="AV410" s="183"/>
      <c r="AW410" s="183"/>
      <c r="AX410" s="183"/>
      <c r="AY410" s="183"/>
      <c r="AZ410" s="183"/>
      <c r="BA410" s="183"/>
      <c r="BB410" s="183"/>
      <c r="BC410" s="183"/>
      <c r="BD410" s="183"/>
      <c r="BE410" s="183"/>
      <c r="BF410" s="133"/>
      <c r="CG410" s="179"/>
      <c r="CH410" s="169"/>
      <c r="CI410" s="177"/>
      <c r="CJ410" s="177"/>
      <c r="CK410" s="177"/>
      <c r="CL410" s="177"/>
      <c r="CM410" s="177"/>
      <c r="CN410" s="177"/>
      <c r="CO410" s="177"/>
      <c r="CP410" s="177"/>
      <c r="CQ410" s="177"/>
      <c r="CR410" s="177"/>
      <c r="CS410" s="177"/>
      <c r="CT410" s="177"/>
      <c r="CU410" s="177"/>
      <c r="CV410" s="172"/>
      <c r="CW410" s="172"/>
      <c r="CX410" s="172"/>
      <c r="CY410" s="172"/>
      <c r="CZ410" s="172"/>
      <c r="DA410" s="196"/>
      <c r="DC410" s="169"/>
      <c r="DD410" s="177"/>
      <c r="DE410" s="177"/>
      <c r="DF410" s="177"/>
      <c r="DG410" s="177"/>
      <c r="DH410" s="177"/>
      <c r="DI410" s="177"/>
      <c r="DJ410" s="177"/>
      <c r="DK410" s="177"/>
      <c r="DL410" s="177"/>
      <c r="DM410" s="177"/>
      <c r="DN410" s="177"/>
      <c r="DO410" s="177"/>
      <c r="DP410" s="177"/>
      <c r="DQ410" s="172"/>
      <c r="DR410" s="172"/>
      <c r="DS410" s="172"/>
      <c r="DT410" s="172"/>
      <c r="DU410" s="172"/>
      <c r="DV410" s="196"/>
    </row>
    <row r="411" spans="1:126" x14ac:dyDescent="0.2">
      <c r="A411" s="143" t="s">
        <v>774</v>
      </c>
      <c r="AJ411" s="133"/>
      <c r="AK411" s="133"/>
      <c r="AL411" s="183"/>
      <c r="AM411" s="183"/>
      <c r="AN411" s="183"/>
      <c r="AO411" s="183"/>
      <c r="AP411" s="183"/>
      <c r="AQ411" s="183"/>
      <c r="AR411" s="183"/>
      <c r="AS411" s="183"/>
      <c r="AT411" s="183"/>
      <c r="AU411" s="183"/>
      <c r="AV411" s="183"/>
      <c r="AW411" s="183"/>
      <c r="AX411" s="183"/>
      <c r="AY411" s="183"/>
      <c r="AZ411" s="183"/>
      <c r="BA411" s="183"/>
      <c r="BB411" s="183"/>
      <c r="BC411" s="183"/>
      <c r="BD411" s="183"/>
      <c r="BE411" s="183"/>
      <c r="BF411" s="133"/>
      <c r="CG411" s="179"/>
      <c r="CH411" s="169"/>
      <c r="CI411" s="177"/>
      <c r="CJ411" s="177"/>
      <c r="CK411" s="177"/>
      <c r="CL411" s="177"/>
      <c r="CM411" s="177"/>
      <c r="CN411" s="177"/>
      <c r="CO411" s="177"/>
      <c r="CP411" s="177"/>
      <c r="CQ411" s="177"/>
      <c r="CR411" s="177"/>
      <c r="CS411" s="177"/>
      <c r="CT411" s="177"/>
      <c r="CU411" s="177"/>
      <c r="CV411" s="172"/>
      <c r="CW411" s="172"/>
      <c r="CX411" s="172"/>
      <c r="CY411" s="172"/>
      <c r="CZ411" s="172"/>
      <c r="DA411" s="196"/>
      <c r="DC411" s="169"/>
      <c r="DD411" s="177"/>
      <c r="DE411" s="177"/>
      <c r="DF411" s="177"/>
      <c r="DG411" s="177"/>
      <c r="DH411" s="177"/>
      <c r="DI411" s="177"/>
      <c r="DJ411" s="177"/>
      <c r="DK411" s="177"/>
      <c r="DL411" s="177"/>
      <c r="DM411" s="177"/>
      <c r="DN411" s="177"/>
      <c r="DO411" s="177"/>
      <c r="DP411" s="177"/>
      <c r="DQ411" s="172"/>
      <c r="DR411" s="172"/>
      <c r="DS411" s="172"/>
      <c r="DT411" s="172"/>
      <c r="DU411" s="172"/>
      <c r="DV411" s="196"/>
    </row>
    <row r="412" spans="1:126" x14ac:dyDescent="0.2">
      <c r="A412" s="143" t="s">
        <v>775</v>
      </c>
      <c r="AJ412" s="133"/>
      <c r="AK412" s="133"/>
      <c r="AL412" s="183"/>
      <c r="AM412" s="183"/>
      <c r="AN412" s="183"/>
      <c r="AO412" s="183"/>
      <c r="AP412" s="183"/>
      <c r="AQ412" s="183"/>
      <c r="AR412" s="183"/>
      <c r="AS412" s="183"/>
      <c r="AT412" s="183"/>
      <c r="AU412" s="183"/>
      <c r="AV412" s="183"/>
      <c r="AW412" s="183"/>
      <c r="AX412" s="183"/>
      <c r="AY412" s="183"/>
      <c r="AZ412" s="183"/>
      <c r="BA412" s="183"/>
      <c r="BB412" s="183"/>
      <c r="BC412" s="183"/>
      <c r="BD412" s="183"/>
      <c r="BE412" s="183"/>
      <c r="BF412" s="133"/>
      <c r="CG412" s="179"/>
      <c r="CH412" s="169"/>
      <c r="CI412" s="177"/>
      <c r="CJ412" s="177"/>
      <c r="CK412" s="177"/>
      <c r="CL412" s="177"/>
      <c r="CM412" s="177"/>
      <c r="CN412" s="177"/>
      <c r="CO412" s="177"/>
      <c r="CP412" s="177"/>
      <c r="CQ412" s="177"/>
      <c r="CR412" s="177"/>
      <c r="CS412" s="177"/>
      <c r="CT412" s="177"/>
      <c r="CU412" s="177"/>
      <c r="CV412" s="172"/>
      <c r="CW412" s="172"/>
      <c r="CX412" s="172"/>
      <c r="CY412" s="172"/>
      <c r="CZ412" s="172"/>
      <c r="DA412" s="196"/>
      <c r="DC412" s="169"/>
      <c r="DD412" s="177"/>
      <c r="DE412" s="177"/>
      <c r="DF412" s="177"/>
      <c r="DG412" s="177"/>
      <c r="DH412" s="177"/>
      <c r="DI412" s="177"/>
      <c r="DJ412" s="177"/>
      <c r="DK412" s="177"/>
      <c r="DL412" s="177"/>
      <c r="DM412" s="177"/>
      <c r="DN412" s="177"/>
      <c r="DO412" s="177"/>
      <c r="DP412" s="177"/>
      <c r="DQ412" s="172"/>
      <c r="DR412" s="172"/>
      <c r="DS412" s="172"/>
      <c r="DT412" s="172"/>
      <c r="DU412" s="172"/>
      <c r="DV412" s="196"/>
    </row>
    <row r="413" spans="1:126" x14ac:dyDescent="0.2">
      <c r="A413" s="143" t="s">
        <v>776</v>
      </c>
      <c r="AJ413" s="133"/>
      <c r="AK413" s="133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33"/>
      <c r="CG413" s="179"/>
      <c r="CH413" s="197"/>
      <c r="CI413" s="180"/>
      <c r="CJ413" s="180"/>
      <c r="CK413" s="180"/>
      <c r="CL413" s="180"/>
      <c r="CM413" s="180"/>
      <c r="CN413" s="180"/>
      <c r="CO413" s="180"/>
      <c r="CP413" s="180"/>
      <c r="CQ413" s="180"/>
      <c r="CR413" s="180"/>
      <c r="CS413" s="180"/>
      <c r="CT413" s="180"/>
      <c r="CU413" s="180"/>
      <c r="CV413" s="173"/>
      <c r="CW413" s="173"/>
      <c r="CX413" s="173"/>
      <c r="CY413" s="173"/>
      <c r="CZ413" s="173"/>
      <c r="DA413" s="198"/>
      <c r="DC413" s="197"/>
      <c r="DD413" s="180"/>
      <c r="DE413" s="180"/>
      <c r="DF413" s="180"/>
      <c r="DG413" s="180"/>
      <c r="DH413" s="180"/>
      <c r="DI413" s="180"/>
      <c r="DJ413" s="180"/>
      <c r="DK413" s="180"/>
      <c r="DL413" s="180"/>
      <c r="DM413" s="180"/>
      <c r="DN413" s="180"/>
      <c r="DO413" s="180"/>
      <c r="DP413" s="180"/>
      <c r="DQ413" s="173"/>
      <c r="DR413" s="173"/>
      <c r="DS413" s="173"/>
      <c r="DT413" s="173"/>
      <c r="DU413" s="173"/>
      <c r="DV413" s="198"/>
    </row>
    <row r="414" spans="1:126" x14ac:dyDescent="0.2">
      <c r="A414" s="143" t="s">
        <v>777</v>
      </c>
      <c r="AJ414" s="133"/>
      <c r="AK414" s="133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33"/>
      <c r="CG414" s="179"/>
      <c r="CH414" s="197"/>
      <c r="CI414" s="180"/>
      <c r="CJ414" s="180"/>
      <c r="CK414" s="180"/>
      <c r="CL414" s="180"/>
      <c r="CM414" s="180"/>
      <c r="CN414" s="180"/>
      <c r="CO414" s="180"/>
      <c r="CP414" s="180"/>
      <c r="CQ414" s="180"/>
      <c r="CR414" s="180"/>
      <c r="CS414" s="180"/>
      <c r="CT414" s="180"/>
      <c r="CU414" s="180"/>
      <c r="CV414" s="173"/>
      <c r="CW414" s="173"/>
      <c r="CX414" s="173"/>
      <c r="CY414" s="173"/>
      <c r="CZ414" s="173"/>
      <c r="DA414" s="198"/>
      <c r="DC414" s="197"/>
      <c r="DD414" s="180"/>
      <c r="DE414" s="180"/>
      <c r="DF414" s="180"/>
      <c r="DG414" s="180"/>
      <c r="DH414" s="180"/>
      <c r="DI414" s="180"/>
      <c r="DJ414" s="180"/>
      <c r="DK414" s="180"/>
      <c r="DL414" s="180"/>
      <c r="DM414" s="180"/>
      <c r="DN414" s="180"/>
      <c r="DO414" s="180"/>
      <c r="DP414" s="180"/>
      <c r="DQ414" s="173"/>
      <c r="DR414" s="173"/>
      <c r="DS414" s="173"/>
      <c r="DT414" s="173"/>
      <c r="DU414" s="173"/>
      <c r="DV414" s="198"/>
    </row>
    <row r="415" spans="1:126" x14ac:dyDescent="0.2">
      <c r="A415" s="143" t="s">
        <v>778</v>
      </c>
      <c r="AJ415" s="133"/>
      <c r="AK415" s="133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33"/>
      <c r="CG415" s="179"/>
      <c r="CH415" s="197"/>
      <c r="CI415" s="180"/>
      <c r="CJ415" s="180"/>
      <c r="CK415" s="180"/>
      <c r="CL415" s="180"/>
      <c r="CM415" s="180"/>
      <c r="CN415" s="180"/>
      <c r="CO415" s="180"/>
      <c r="CP415" s="180"/>
      <c r="CQ415" s="180"/>
      <c r="CR415" s="180"/>
      <c r="CS415" s="180"/>
      <c r="CT415" s="180"/>
      <c r="CU415" s="180"/>
      <c r="CV415" s="173"/>
      <c r="CW415" s="173"/>
      <c r="CX415" s="173"/>
      <c r="CY415" s="173"/>
      <c r="CZ415" s="173"/>
      <c r="DA415" s="198"/>
      <c r="DC415" s="197"/>
      <c r="DD415" s="180"/>
      <c r="DE415" s="180"/>
      <c r="DF415" s="180"/>
      <c r="DG415" s="180"/>
      <c r="DH415" s="180"/>
      <c r="DI415" s="180"/>
      <c r="DJ415" s="180"/>
      <c r="DK415" s="180"/>
      <c r="DL415" s="180"/>
      <c r="DM415" s="180"/>
      <c r="DN415" s="180"/>
      <c r="DO415" s="180"/>
      <c r="DP415" s="180"/>
      <c r="DQ415" s="173"/>
      <c r="DR415" s="173"/>
      <c r="DS415" s="173"/>
      <c r="DT415" s="173"/>
      <c r="DU415" s="173"/>
      <c r="DV415" s="198"/>
    </row>
    <row r="416" spans="1:126" x14ac:dyDescent="0.2">
      <c r="A416" s="143" t="s">
        <v>779</v>
      </c>
      <c r="AJ416" s="133"/>
      <c r="AK416" s="133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33"/>
      <c r="CG416" s="179"/>
      <c r="CH416" s="197"/>
      <c r="CI416" s="180"/>
      <c r="CJ416" s="180"/>
      <c r="CK416" s="180"/>
      <c r="CL416" s="180"/>
      <c r="CM416" s="180"/>
      <c r="CN416" s="180"/>
      <c r="CO416" s="180"/>
      <c r="CP416" s="180"/>
      <c r="CQ416" s="180"/>
      <c r="CR416" s="180"/>
      <c r="CS416" s="180"/>
      <c r="CT416" s="180"/>
      <c r="CU416" s="180"/>
      <c r="CV416" s="173"/>
      <c r="CW416" s="173"/>
      <c r="CX416" s="173"/>
      <c r="CY416" s="173"/>
      <c r="CZ416" s="173"/>
      <c r="DA416" s="198"/>
      <c r="DC416" s="197"/>
      <c r="DD416" s="180"/>
      <c r="DE416" s="180"/>
      <c r="DF416" s="180"/>
      <c r="DG416" s="180"/>
      <c r="DH416" s="180"/>
      <c r="DI416" s="180"/>
      <c r="DJ416" s="180"/>
      <c r="DK416" s="180"/>
      <c r="DL416" s="180"/>
      <c r="DM416" s="180"/>
      <c r="DN416" s="180"/>
      <c r="DO416" s="180"/>
      <c r="DP416" s="180"/>
      <c r="DQ416" s="173"/>
      <c r="DR416" s="173"/>
      <c r="DS416" s="173"/>
      <c r="DT416" s="173"/>
      <c r="DU416" s="173"/>
      <c r="DV416" s="198"/>
    </row>
    <row r="417" spans="1:126" x14ac:dyDescent="0.2">
      <c r="A417" s="144" t="s">
        <v>780</v>
      </c>
      <c r="AJ417" s="133"/>
      <c r="AK417" s="133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33"/>
      <c r="CG417" s="179"/>
      <c r="CH417" s="197"/>
      <c r="CI417" s="180"/>
      <c r="CJ417" s="180"/>
      <c r="CK417" s="180"/>
      <c r="CL417" s="180"/>
      <c r="CM417" s="180"/>
      <c r="CN417" s="180"/>
      <c r="CO417" s="180"/>
      <c r="CP417" s="180"/>
      <c r="CQ417" s="180"/>
      <c r="CR417" s="180"/>
      <c r="CS417" s="180"/>
      <c r="CT417" s="180"/>
      <c r="CU417" s="180"/>
      <c r="CV417" s="173"/>
      <c r="CW417" s="173"/>
      <c r="CX417" s="173"/>
      <c r="CY417" s="173"/>
      <c r="CZ417" s="173"/>
      <c r="DA417" s="198"/>
      <c r="DC417" s="197"/>
      <c r="DD417" s="180"/>
      <c r="DE417" s="180"/>
      <c r="DF417" s="180"/>
      <c r="DG417" s="180"/>
      <c r="DH417" s="180"/>
      <c r="DI417" s="180"/>
      <c r="DJ417" s="180"/>
      <c r="DK417" s="180"/>
      <c r="DL417" s="180"/>
      <c r="DM417" s="180"/>
      <c r="DN417" s="180"/>
      <c r="DO417" s="180"/>
      <c r="DP417" s="180"/>
      <c r="DQ417" s="173"/>
      <c r="DR417" s="173"/>
      <c r="DS417" s="173"/>
      <c r="DT417" s="173"/>
      <c r="DU417" s="173"/>
      <c r="DV417" s="198"/>
    </row>
    <row r="418" spans="1:126" x14ac:dyDescent="0.2"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CG418" s="176"/>
      <c r="CH418" s="197"/>
      <c r="CI418" s="180"/>
      <c r="CJ418" s="180"/>
      <c r="CK418" s="180"/>
      <c r="CL418" s="180"/>
      <c r="CM418" s="180"/>
      <c r="CN418" s="180"/>
      <c r="CO418" s="180"/>
      <c r="CP418" s="180"/>
      <c r="CQ418" s="180"/>
      <c r="CR418" s="180"/>
      <c r="CS418" s="180"/>
      <c r="CT418" s="180"/>
      <c r="CU418" s="180"/>
      <c r="CV418" s="173"/>
      <c r="CW418" s="173"/>
      <c r="CX418" s="173"/>
      <c r="CY418" s="173"/>
      <c r="CZ418" s="173"/>
      <c r="DA418" s="198"/>
      <c r="DC418" s="197"/>
      <c r="DD418" s="180"/>
      <c r="DE418" s="180"/>
      <c r="DF418" s="180"/>
      <c r="DG418" s="180"/>
      <c r="DH418" s="180"/>
      <c r="DI418" s="180"/>
      <c r="DJ418" s="180"/>
      <c r="DK418" s="180"/>
      <c r="DL418" s="180"/>
      <c r="DM418" s="180"/>
      <c r="DN418" s="180"/>
      <c r="DO418" s="180"/>
      <c r="DP418" s="180"/>
      <c r="DQ418" s="173"/>
      <c r="DR418" s="173"/>
      <c r="DS418" s="173"/>
      <c r="DT418" s="173"/>
      <c r="DU418" s="173"/>
      <c r="DV418" s="198"/>
    </row>
    <row r="419" spans="1:126" x14ac:dyDescent="0.2">
      <c r="A419" s="3" t="s">
        <v>103</v>
      </c>
      <c r="B419" s="3" t="s">
        <v>104</v>
      </c>
      <c r="C419" s="3" t="s">
        <v>105</v>
      </c>
      <c r="D419" s="3" t="s">
        <v>106</v>
      </c>
      <c r="E419" s="3" t="s">
        <v>107</v>
      </c>
      <c r="F419" s="3" t="s">
        <v>108</v>
      </c>
      <c r="G419" s="3" t="s">
        <v>109</v>
      </c>
      <c r="H419" s="3" t="s">
        <v>110</v>
      </c>
      <c r="I419" s="3" t="s">
        <v>111</v>
      </c>
      <c r="J419" s="3" t="s">
        <v>112</v>
      </c>
      <c r="K419" s="3" t="s">
        <v>113</v>
      </c>
      <c r="L419" s="3" t="s">
        <v>114</v>
      </c>
      <c r="N419" s="139" t="e">
        <f t="shared" ref="N419" si="0">CONCATENATE(LEFT(T419,2)-1,".",RIGHT(T419,1))</f>
        <v>#VALUE!</v>
      </c>
      <c r="O419" s="140" t="e">
        <f t="shared" ref="O419" si="1">CONCATENATE(LEFT(U419,2)-1,".",RIGHT(U419,1))</f>
        <v>#VALUE!</v>
      </c>
      <c r="P419" s="140" t="e">
        <f t="shared" ref="P419" si="2">CONCATENATE(LEFT(V419,2)-1,".",RIGHT(V419,1))</f>
        <v>#VALUE!</v>
      </c>
      <c r="Q419" s="140" t="e">
        <f t="shared" ref="Q419" si="3">CONCATENATE(LEFT(W419,2)-1,".",RIGHT(W419,1))</f>
        <v>#VALUE!</v>
      </c>
      <c r="R419" s="140" t="e">
        <f t="shared" ref="R419:S419" si="4">CONCATENATE(LEFT(X419,2)-1,".",RIGHT(X419,1))</f>
        <v>#VALUE!</v>
      </c>
      <c r="S419" s="141" t="e">
        <f t="shared" si="4"/>
        <v>#VALUE!</v>
      </c>
      <c r="T419" s="139" t="e">
        <f t="shared" ref="T419" si="5">CONCATENATE(LEFT(Z419,2)-1,".",RIGHT(Z419,1))</f>
        <v>#VALUE!</v>
      </c>
      <c r="U419" s="140" t="e">
        <f t="shared" ref="U419" si="6">CONCATENATE(LEFT(AA419,2)-1,".",RIGHT(AA419,1))</f>
        <v>#VALUE!</v>
      </c>
      <c r="V419" s="140" t="e">
        <f t="shared" ref="V419" si="7">CONCATENATE(LEFT(AB419,2)-1,".",RIGHT(AB419,1))</f>
        <v>#VALUE!</v>
      </c>
      <c r="W419" s="140" t="e">
        <f t="shared" ref="W419" si="8">CONCATENATE(LEFT(AC419,2)-1,".",RIGHT(AC419,1))</f>
        <v>#VALUE!</v>
      </c>
      <c r="X419" s="140" t="e">
        <f t="shared" ref="X419:Y419" si="9">CONCATENATE(LEFT(AD419,2)-1,".",RIGHT(AD419,1))</f>
        <v>#VALUE!</v>
      </c>
      <c r="Y419" s="141" t="e">
        <f t="shared" si="9"/>
        <v>#VALUE!</v>
      </c>
      <c r="Z419" s="139" t="e">
        <f t="shared" ref="Z419" si="10">CONCATENATE(LEFT(AF419,2)-1,".",RIGHT(AF419,1))</f>
        <v>#VALUE!</v>
      </c>
      <c r="AA419" s="140" t="e">
        <f t="shared" ref="AA419" si="11">CONCATENATE(LEFT(AG419,2)-1,".",RIGHT(AG419,1))</f>
        <v>#VALUE!</v>
      </c>
      <c r="AB419" s="140" t="e">
        <f t="shared" ref="AB419" si="12">CONCATENATE(LEFT(AH419,2)-1,".",RIGHT(AH419,1))</f>
        <v>#VALUE!</v>
      </c>
      <c r="AC419" s="140" t="e">
        <f t="shared" ref="AC419" si="13">CONCATENATE(LEFT(AI419,2)-1,".",RIGHT(AI419,1))</f>
        <v>#VALUE!</v>
      </c>
      <c r="AD419" s="140" t="e">
        <f t="shared" ref="AD419:AE419" si="14">CONCATENATE(LEFT(AJ419,2)-1,".",RIGHT(AJ419,1))</f>
        <v>#VALUE!</v>
      </c>
      <c r="AE419" s="141" t="e">
        <f t="shared" si="14"/>
        <v>#VALUE!</v>
      </c>
      <c r="AF419" s="139" t="e">
        <f t="shared" ref="AF419" si="15">CONCATENATE(LEFT(AL419,2)-1,".",RIGHT(AL419,1))</f>
        <v>#VALUE!</v>
      </c>
      <c r="AG419" s="140" t="e">
        <f t="shared" ref="AG419" si="16">CONCATENATE(LEFT(AM419,2)-1,".",RIGHT(AM419,1))</f>
        <v>#VALUE!</v>
      </c>
      <c r="AH419" s="140" t="e">
        <f t="shared" ref="AH419" si="17">CONCATENATE(LEFT(AN419,2)-1,".",RIGHT(AN419,1))</f>
        <v>#VALUE!</v>
      </c>
      <c r="AI419" s="140" t="e">
        <f t="shared" ref="AI419" si="18">CONCATENATE(LEFT(AO419,2)-1,".",RIGHT(AO419,1))</f>
        <v>#VALUE!</v>
      </c>
      <c r="AJ419" s="140" t="e">
        <f t="shared" ref="AJ419" si="19">CONCATENATE(LEFT(AP419,2)-1,".",RIGHT(AP419,1))</f>
        <v>#VALUE!</v>
      </c>
      <c r="AK419" s="141" t="e">
        <f t="shared" ref="AK419" si="20">CONCATENATE(LEFT(AQ419,2)-1,".",RIGHT(AQ419,1))</f>
        <v>#VALUE!</v>
      </c>
      <c r="AL419" s="139" t="e">
        <f t="shared" ref="AL419" si="21">CONCATENATE(LEFT(AR419,2)-1,".",RIGHT(AR419,1))</f>
        <v>#VALUE!</v>
      </c>
      <c r="AM419" s="140" t="e">
        <f t="shared" ref="AM419" si="22">CONCATENATE(LEFT(AS419,2)-1,".",RIGHT(AS419,1))</f>
        <v>#VALUE!</v>
      </c>
      <c r="AN419" s="140" t="e">
        <f t="shared" ref="AN419" si="23">CONCATENATE(LEFT(AT419,2)-1,".",RIGHT(AT419,1))</f>
        <v>#VALUE!</v>
      </c>
      <c r="AO419" s="140" t="e">
        <f t="shared" ref="AO419" si="24">CONCATENATE(LEFT(AU419,2)-1,".",RIGHT(AU419,1))</f>
        <v>#VALUE!</v>
      </c>
      <c r="AP419" s="140" t="e">
        <f t="shared" ref="AP419" si="25">CONCATENATE(LEFT(AV419,2)-1,".",RIGHT(AV419,1))</f>
        <v>#VALUE!</v>
      </c>
      <c r="AQ419" s="141" t="e">
        <f t="shared" ref="AQ419" si="26">CONCATENATE(LEFT(AW419,2)-1,".",RIGHT(AW419,1))</f>
        <v>#VALUE!</v>
      </c>
      <c r="AR419" s="139" t="e">
        <f t="shared" ref="AR419" si="27">CONCATENATE(LEFT(AX419,2)-1,".",RIGHT(AX419,1))</f>
        <v>#VALUE!</v>
      </c>
      <c r="AS419" s="140" t="e">
        <f t="shared" ref="AS419" si="28">CONCATENATE(LEFT(AY419,2)-1,".",RIGHT(AY419,1))</f>
        <v>#VALUE!</v>
      </c>
      <c r="AT419" s="140" t="e">
        <f t="shared" ref="AT419" si="29">CONCATENATE(LEFT(AZ419,2)-1,".",RIGHT(AZ419,1))</f>
        <v>#VALUE!</v>
      </c>
      <c r="AU419" s="140" t="e">
        <f t="shared" ref="AU419" si="30">CONCATENATE(LEFT(BA419,2)-1,".",RIGHT(BA419,1))</f>
        <v>#VALUE!</v>
      </c>
      <c r="AV419" s="140" t="e">
        <f t="shared" ref="AV419" si="31">CONCATENATE(LEFT(BB419,2)-1,".",RIGHT(BB419,1))</f>
        <v>#VALUE!</v>
      </c>
      <c r="AW419" s="141" t="e">
        <f t="shared" ref="AW419" si="32">CONCATENATE(LEFT(BC419,2)-1,".",RIGHT(BC419,1))</f>
        <v>#VALUE!</v>
      </c>
      <c r="AX419" s="139" t="e">
        <f t="shared" ref="AX419" si="33">CONCATENATE(LEFT(BD419,2)-1,".",RIGHT(BD419,1))</f>
        <v>#VALUE!</v>
      </c>
      <c r="AY419" s="140" t="e">
        <f t="shared" ref="AY419" si="34">CONCATENATE(LEFT(BE419,2)-1,".",RIGHT(BE419,1))</f>
        <v>#VALUE!</v>
      </c>
      <c r="AZ419" s="140" t="e">
        <f t="shared" ref="AZ419" si="35">CONCATENATE(LEFT(BF419,2)-1,".",RIGHT(BF419,1))</f>
        <v>#VALUE!</v>
      </c>
      <c r="BA419" s="140" t="e">
        <f t="shared" ref="BA419" si="36">CONCATENATE(LEFT(BG419,2)-1,".",RIGHT(BG419,1))</f>
        <v>#VALUE!</v>
      </c>
      <c r="BB419" s="140" t="e">
        <f t="shared" ref="BB419" si="37">CONCATENATE(LEFT(BH419,2)-1,".",RIGHT(BH419,1))</f>
        <v>#VALUE!</v>
      </c>
      <c r="BC419" s="141" t="e">
        <f t="shared" ref="BC419" si="38">CONCATENATE(LEFT(BI419,2)-1,".",RIGHT(BI419,1))</f>
        <v>#VALUE!</v>
      </c>
      <c r="BD419" s="139" t="e">
        <f t="shared" ref="BD419" si="39">CONCATENATE(LEFT(BJ419,2)-1,".",RIGHT(BJ419,1))</f>
        <v>#VALUE!</v>
      </c>
      <c r="BE419" s="140" t="e">
        <f t="shared" ref="BE419" si="40">CONCATENATE(LEFT(BK419,2)-1,".",RIGHT(BK419,1))</f>
        <v>#VALUE!</v>
      </c>
      <c r="BF419" s="140" t="e">
        <f t="shared" ref="BF419" si="41">CONCATENATE(LEFT(BL419,2)-1,".",RIGHT(BL419,1))</f>
        <v>#VALUE!</v>
      </c>
      <c r="BG419" s="140" t="e">
        <f t="shared" ref="BG419" si="42">CONCATENATE(LEFT(BM419,2)-1,".",RIGHT(BM419,1))</f>
        <v>#VALUE!</v>
      </c>
      <c r="BH419" s="140" t="e">
        <f t="shared" ref="BH419" si="43">CONCATENATE(LEFT(BN419,2)-1,".",RIGHT(BN419,1))</f>
        <v>#VALUE!</v>
      </c>
      <c r="BI419" s="141" t="e">
        <f t="shared" ref="BI419" si="44">CONCATENATE(LEFT(BO419,2)-1,".",RIGHT(BO419,1))</f>
        <v>#VALUE!</v>
      </c>
      <c r="BJ419" s="139" t="e">
        <f t="shared" ref="BJ419" si="45">CONCATENATE(LEFT(BP419,2)-1,".",RIGHT(BP419,1))</f>
        <v>#VALUE!</v>
      </c>
      <c r="BK419" s="140" t="e">
        <f t="shared" ref="BK419" si="46">CONCATENATE(LEFT(BQ419,2)-1,".",RIGHT(BQ419,1))</f>
        <v>#VALUE!</v>
      </c>
      <c r="BL419" s="140" t="e">
        <f t="shared" ref="BL419" si="47">CONCATENATE(LEFT(BR419,2)-1,".",RIGHT(BR419,1))</f>
        <v>#VALUE!</v>
      </c>
      <c r="BM419" s="140" t="e">
        <f t="shared" ref="BM419" si="48">CONCATENATE(LEFT(BS419,2)-1,".",RIGHT(BS419,1))</f>
        <v>#VALUE!</v>
      </c>
      <c r="BN419" s="140" t="e">
        <f t="shared" ref="BN419" si="49">CONCATENATE(LEFT(BT419,2)-1,".",RIGHT(BT419,1))</f>
        <v>#VALUE!</v>
      </c>
      <c r="BO419" s="141" t="e">
        <f t="shared" ref="BO419" si="50">CONCATENATE(LEFT(BU419,2)-1,".",RIGHT(BU419,1))</f>
        <v>#VALUE!</v>
      </c>
      <c r="BP419" s="139" t="e">
        <f t="shared" ref="BP419" si="51">CONCATENATE(LEFT(BV419,2)-1,".",RIGHT(BV419,1))</f>
        <v>#VALUE!</v>
      </c>
      <c r="BQ419" s="140" t="e">
        <f t="shared" ref="BQ419" si="52">CONCATENATE(LEFT(BW419,2)-1,".",RIGHT(BW419,1))</f>
        <v>#VALUE!</v>
      </c>
      <c r="BR419" s="140" t="e">
        <f t="shared" ref="BR419" si="53">CONCATENATE(LEFT(BX419,2)-1,".",RIGHT(BX419,1))</f>
        <v>#VALUE!</v>
      </c>
      <c r="BS419" s="140" t="e">
        <f t="shared" ref="BS419" si="54">CONCATENATE(LEFT(BY419,2)-1,".",RIGHT(BY419,1))</f>
        <v>#VALUE!</v>
      </c>
      <c r="BT419" s="140" t="e">
        <f t="shared" ref="BT419" si="55">CONCATENATE(LEFT(BZ419,2)-1,".",RIGHT(BZ419,1))</f>
        <v>#VALUE!</v>
      </c>
      <c r="BU419" s="141" t="e">
        <f t="shared" ref="BU419" si="56">CONCATENATE(LEFT(CA419,2)-1,".",RIGHT(CA419,1))</f>
        <v>#VALUE!</v>
      </c>
      <c r="BV419" s="139" t="e">
        <f t="shared" ref="BV419" si="57">CONCATENATE(LEFT(CG419,2)-1,".",RIGHT(CG419,1))</f>
        <v>#VALUE!</v>
      </c>
      <c r="BW419" s="140" t="e">
        <f t="shared" ref="BW419" si="58">CONCATENATE(LEFT(CH419,2)-1,".",RIGHT(CH419,1))</f>
        <v>#VALUE!</v>
      </c>
      <c r="BX419" s="140" t="e">
        <f t="shared" ref="BX419" si="59">CONCATENATE(LEFT(CI419,2)-1,".",RIGHT(CI419,1))</f>
        <v>#VALUE!</v>
      </c>
      <c r="BY419" s="140" t="e">
        <f t="shared" ref="BY419" si="60">CONCATENATE(LEFT(CJ419,2)-1,".",RIGHT(CJ419,1))</f>
        <v>#VALUE!</v>
      </c>
      <c r="BZ419" s="140" t="e">
        <f t="shared" ref="BZ419" si="61">CONCATENATE(LEFT(CK419,2)-1,".",RIGHT(CK419,1))</f>
        <v>#VALUE!</v>
      </c>
      <c r="CA419" s="141" t="e">
        <f t="shared" ref="CA419" si="62">CONCATENATE(LEFT(CL419,2)-1,".",RIGHT(CL419,1))</f>
        <v>#VALUE!</v>
      </c>
      <c r="CB419" s="9"/>
      <c r="CC419" s="9"/>
      <c r="CD419" s="9"/>
      <c r="CE419" s="9"/>
      <c r="CF419" s="9"/>
      <c r="CG419" s="176"/>
      <c r="CH419" s="197"/>
      <c r="CI419" s="180"/>
      <c r="CJ419" s="180"/>
      <c r="CK419" s="180"/>
      <c r="CL419" s="180"/>
      <c r="CM419" s="180"/>
      <c r="CN419" s="180"/>
      <c r="CO419" s="180"/>
      <c r="CP419" s="180"/>
      <c r="CQ419" s="180"/>
      <c r="CR419" s="180"/>
      <c r="CS419" s="180"/>
      <c r="CT419" s="180"/>
      <c r="CU419" s="180"/>
      <c r="CV419" s="173"/>
      <c r="CW419" s="173"/>
      <c r="CX419" s="173"/>
      <c r="CY419" s="173"/>
      <c r="CZ419" s="173"/>
      <c r="DA419" s="198"/>
      <c r="DC419" s="197"/>
      <c r="DD419" s="180"/>
      <c r="DE419" s="180"/>
      <c r="DF419" s="180"/>
      <c r="DG419" s="180"/>
      <c r="DH419" s="180"/>
      <c r="DI419" s="180"/>
      <c r="DJ419" s="180"/>
      <c r="DK419" s="180"/>
      <c r="DL419" s="180"/>
      <c r="DM419" s="180"/>
      <c r="DN419" s="180"/>
      <c r="DO419" s="180"/>
      <c r="DP419" s="180"/>
      <c r="DQ419" s="173"/>
      <c r="DR419" s="173"/>
      <c r="DS419" s="173"/>
      <c r="DT419" s="173"/>
      <c r="DU419" s="173"/>
      <c r="DV419" s="198"/>
    </row>
    <row r="420" spans="1:126" x14ac:dyDescent="0.2">
      <c r="A420" s="3">
        <v>1</v>
      </c>
      <c r="B420" s="3" t="s">
        <v>115</v>
      </c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CG420" s="176"/>
      <c r="CH420" s="199"/>
      <c r="CI420" s="200"/>
      <c r="CJ420" s="200"/>
      <c r="CK420" s="200"/>
      <c r="CL420" s="200"/>
      <c r="CM420" s="200"/>
      <c r="CN420" s="200"/>
      <c r="CO420" s="200"/>
      <c r="CP420" s="200"/>
      <c r="CQ420" s="201"/>
      <c r="CR420" s="202"/>
      <c r="CS420" s="200"/>
      <c r="CT420" s="200"/>
      <c r="CU420" s="200"/>
      <c r="CV420" s="203"/>
      <c r="CW420" s="203"/>
      <c r="CX420" s="203"/>
      <c r="CY420" s="203"/>
      <c r="CZ420" s="203"/>
      <c r="DA420" s="204"/>
      <c r="DC420" s="199"/>
      <c r="DD420" s="200"/>
      <c r="DE420" s="200"/>
      <c r="DF420" s="200"/>
      <c r="DG420" s="200"/>
      <c r="DH420" s="200"/>
      <c r="DI420" s="200"/>
      <c r="DJ420" s="200"/>
      <c r="DK420" s="200"/>
      <c r="DL420" s="200"/>
      <c r="DM420" s="200"/>
      <c r="DN420" s="200"/>
      <c r="DO420" s="200"/>
      <c r="DP420" s="200"/>
      <c r="DQ420" s="203"/>
      <c r="DR420" s="203"/>
      <c r="DS420" s="203"/>
      <c r="DT420" s="203"/>
      <c r="DU420" s="203"/>
      <c r="DV420" s="204"/>
    </row>
    <row r="421" spans="1:126" x14ac:dyDescent="0.2">
      <c r="A421" s="3">
        <v>2</v>
      </c>
      <c r="B421" s="3" t="s">
        <v>116</v>
      </c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CG421" s="176">
        <v>22</v>
      </c>
      <c r="CH421" s="192"/>
      <c r="CI421" s="193"/>
      <c r="CJ421" s="193"/>
      <c r="CK421" s="193"/>
      <c r="CL421" s="193"/>
      <c r="CM421" s="193"/>
      <c r="CN421" s="193"/>
      <c r="CO421" s="193"/>
      <c r="CP421" s="193"/>
      <c r="CQ421" s="193"/>
      <c r="CR421" s="193"/>
      <c r="CS421" s="193"/>
      <c r="CT421" s="193"/>
      <c r="CU421" s="193"/>
      <c r="CV421" s="194"/>
      <c r="CW421" s="194"/>
      <c r="CX421" s="194"/>
      <c r="CY421" s="194"/>
      <c r="CZ421" s="194"/>
      <c r="DA421" s="195"/>
      <c r="DC421" s="192"/>
      <c r="DD421" s="193"/>
      <c r="DE421" s="193"/>
      <c r="DF421" s="193"/>
      <c r="DG421" s="193"/>
      <c r="DH421" s="193"/>
      <c r="DI421" s="193"/>
      <c r="DJ421" s="193"/>
      <c r="DK421" s="193"/>
      <c r="DL421" s="193"/>
      <c r="DM421" s="193"/>
      <c r="DN421" s="193"/>
      <c r="DO421" s="193"/>
      <c r="DP421" s="193"/>
      <c r="DQ421" s="194"/>
      <c r="DR421" s="194"/>
      <c r="DS421" s="194"/>
      <c r="DT421" s="194"/>
      <c r="DU421" s="194"/>
      <c r="DV421" s="195"/>
    </row>
    <row r="422" spans="1:126" x14ac:dyDescent="0.2">
      <c r="A422" s="3">
        <v>3</v>
      </c>
      <c r="B422" s="3" t="s">
        <v>117</v>
      </c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CG422" s="176"/>
      <c r="CH422" s="169"/>
      <c r="CI422" s="177"/>
      <c r="CJ422" s="177"/>
      <c r="CK422" s="177"/>
      <c r="CL422" s="177"/>
      <c r="CM422" s="177"/>
      <c r="CN422" s="177"/>
      <c r="CO422" s="177"/>
      <c r="CP422" s="177"/>
      <c r="CQ422" s="177"/>
      <c r="CR422" s="177"/>
      <c r="CS422" s="177"/>
      <c r="CT422" s="177"/>
      <c r="CU422" s="177"/>
      <c r="CV422" s="172"/>
      <c r="CW422" s="172"/>
      <c r="CX422" s="172"/>
      <c r="CY422" s="172"/>
      <c r="CZ422" s="172"/>
      <c r="DA422" s="196"/>
      <c r="DC422" s="169"/>
      <c r="DD422" s="177"/>
      <c r="DE422" s="177"/>
      <c r="DF422" s="177"/>
      <c r="DG422" s="177"/>
      <c r="DH422" s="177"/>
      <c r="DI422" s="177"/>
      <c r="DJ422" s="177"/>
      <c r="DK422" s="177"/>
      <c r="DL422" s="177"/>
      <c r="DM422" s="177"/>
      <c r="DN422" s="177"/>
      <c r="DO422" s="177"/>
      <c r="DP422" s="177"/>
      <c r="DQ422" s="172"/>
      <c r="DR422" s="172"/>
      <c r="DS422" s="172"/>
      <c r="DT422" s="172"/>
      <c r="DU422" s="172"/>
      <c r="DV422" s="196"/>
    </row>
    <row r="423" spans="1:126" x14ac:dyDescent="0.2">
      <c r="A423" s="3">
        <v>4</v>
      </c>
      <c r="B423" s="3" t="s">
        <v>118</v>
      </c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CG423" s="131"/>
      <c r="CH423" s="169"/>
      <c r="CI423" s="177"/>
      <c r="CJ423" s="177"/>
      <c r="CK423" s="177"/>
      <c r="CL423" s="177"/>
      <c r="CM423" s="177"/>
      <c r="CN423" s="177"/>
      <c r="CO423" s="177"/>
      <c r="CP423" s="177"/>
      <c r="CQ423" s="177"/>
      <c r="CR423" s="177"/>
      <c r="CS423" s="177"/>
      <c r="CT423" s="177"/>
      <c r="CU423" s="177"/>
      <c r="CV423" s="172"/>
      <c r="CW423" s="172"/>
      <c r="CX423" s="172"/>
      <c r="CY423" s="172"/>
      <c r="CZ423" s="172"/>
      <c r="DA423" s="196"/>
      <c r="DC423" s="169"/>
      <c r="DD423" s="177"/>
      <c r="DE423" s="177"/>
      <c r="DF423" s="177"/>
      <c r="DG423" s="177"/>
      <c r="DH423" s="177"/>
      <c r="DI423" s="177"/>
      <c r="DJ423" s="177"/>
      <c r="DK423" s="177"/>
      <c r="DL423" s="177"/>
      <c r="DM423" s="177"/>
      <c r="DN423" s="177"/>
      <c r="DO423" s="177"/>
      <c r="DP423" s="177"/>
      <c r="DQ423" s="172"/>
      <c r="DR423" s="172"/>
      <c r="DS423" s="172"/>
      <c r="DT423" s="172"/>
      <c r="DU423" s="172"/>
      <c r="DV423" s="196"/>
    </row>
    <row r="424" spans="1:126" x14ac:dyDescent="0.2">
      <c r="A424" s="3">
        <v>5</v>
      </c>
      <c r="B424" s="3" t="s">
        <v>119</v>
      </c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CG424" s="176"/>
      <c r="CH424" s="169"/>
      <c r="CI424" s="177"/>
      <c r="CJ424" s="177"/>
      <c r="CK424" s="177"/>
      <c r="CL424" s="177"/>
      <c r="CM424" s="177"/>
      <c r="CN424" s="177"/>
      <c r="CO424" s="177"/>
      <c r="CP424" s="177"/>
      <c r="CQ424" s="177"/>
      <c r="CR424" s="177"/>
      <c r="CS424" s="177"/>
      <c r="CT424" s="177"/>
      <c r="CU424" s="177"/>
      <c r="CV424" s="172"/>
      <c r="CW424" s="172"/>
      <c r="CX424" s="172"/>
      <c r="CY424" s="172"/>
      <c r="CZ424" s="172"/>
      <c r="DA424" s="196"/>
      <c r="DC424" s="169"/>
      <c r="DD424" s="177"/>
      <c r="DE424" s="177"/>
      <c r="DF424" s="177"/>
      <c r="DG424" s="177"/>
      <c r="DH424" s="177"/>
      <c r="DI424" s="177"/>
      <c r="DJ424" s="177"/>
      <c r="DK424" s="177"/>
      <c r="DL424" s="177"/>
      <c r="DM424" s="177"/>
      <c r="DN424" s="177"/>
      <c r="DO424" s="177"/>
      <c r="DP424" s="177"/>
      <c r="DQ424" s="172"/>
      <c r="DR424" s="172"/>
      <c r="DS424" s="172"/>
      <c r="DT424" s="172"/>
      <c r="DU424" s="172"/>
      <c r="DV424" s="196"/>
    </row>
    <row r="425" spans="1:126" x14ac:dyDescent="0.2">
      <c r="A425" s="3">
        <v>6</v>
      </c>
      <c r="B425" s="3" t="s">
        <v>120</v>
      </c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CG425" s="178"/>
      <c r="CH425" s="169"/>
      <c r="CI425" s="177"/>
      <c r="CJ425" s="177"/>
      <c r="CK425" s="177"/>
      <c r="CL425" s="177"/>
      <c r="CM425" s="177"/>
      <c r="CN425" s="177"/>
      <c r="CO425" s="177"/>
      <c r="CP425" s="177"/>
      <c r="CQ425" s="177"/>
      <c r="CR425" s="177"/>
      <c r="CS425" s="177"/>
      <c r="CT425" s="177"/>
      <c r="CU425" s="177"/>
      <c r="CV425" s="172"/>
      <c r="CW425" s="172"/>
      <c r="CX425" s="172"/>
      <c r="CY425" s="172"/>
      <c r="CZ425" s="172"/>
      <c r="DA425" s="196"/>
      <c r="DC425" s="169"/>
      <c r="DD425" s="177"/>
      <c r="DE425" s="177"/>
      <c r="DF425" s="177"/>
      <c r="DG425" s="177"/>
      <c r="DH425" s="177"/>
      <c r="DI425" s="177"/>
      <c r="DJ425" s="177"/>
      <c r="DK425" s="177"/>
      <c r="DL425" s="177"/>
      <c r="DM425" s="177"/>
      <c r="DN425" s="177"/>
      <c r="DO425" s="177"/>
      <c r="DP425" s="177"/>
      <c r="DQ425" s="172"/>
      <c r="DR425" s="172"/>
      <c r="DS425" s="172"/>
      <c r="DT425" s="172"/>
      <c r="DU425" s="172"/>
      <c r="DV425" s="196"/>
    </row>
    <row r="426" spans="1:126" x14ac:dyDescent="0.2">
      <c r="A426" s="3">
        <v>7</v>
      </c>
      <c r="B426" s="3" t="s">
        <v>121</v>
      </c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CG426" s="179"/>
      <c r="CH426" s="169"/>
      <c r="CI426" s="177"/>
      <c r="CJ426" s="177"/>
      <c r="CK426" s="177"/>
      <c r="CL426" s="177"/>
      <c r="CM426" s="177"/>
      <c r="CN426" s="177"/>
      <c r="CO426" s="177"/>
      <c r="CP426" s="177"/>
      <c r="CQ426" s="177"/>
      <c r="CR426" s="177"/>
      <c r="CS426" s="177"/>
      <c r="CT426" s="177"/>
      <c r="CU426" s="177"/>
      <c r="CV426" s="172"/>
      <c r="CW426" s="172"/>
      <c r="CX426" s="172"/>
      <c r="CY426" s="172"/>
      <c r="CZ426" s="172"/>
      <c r="DA426" s="196"/>
      <c r="DC426" s="169"/>
      <c r="DD426" s="177"/>
      <c r="DE426" s="177"/>
      <c r="DF426" s="177"/>
      <c r="DG426" s="177"/>
      <c r="DH426" s="177"/>
      <c r="DI426" s="177"/>
      <c r="DJ426" s="177"/>
      <c r="DK426" s="177"/>
      <c r="DL426" s="177"/>
      <c r="DM426" s="177"/>
      <c r="DN426" s="177"/>
      <c r="DO426" s="177"/>
      <c r="DP426" s="177"/>
      <c r="DQ426" s="172"/>
      <c r="DR426" s="172"/>
      <c r="DS426" s="172"/>
      <c r="DT426" s="172"/>
      <c r="DU426" s="172"/>
      <c r="DV426" s="196"/>
    </row>
    <row r="427" spans="1:126" x14ac:dyDescent="0.2">
      <c r="A427" s="3">
        <v>8</v>
      </c>
      <c r="B427" s="3" t="s">
        <v>122</v>
      </c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CG427" s="179"/>
      <c r="CH427" s="169"/>
      <c r="CI427" s="177"/>
      <c r="CJ427" s="177"/>
      <c r="CK427" s="177"/>
      <c r="CL427" s="177"/>
      <c r="CM427" s="177"/>
      <c r="CN427" s="177"/>
      <c r="CO427" s="177"/>
      <c r="CP427" s="177"/>
      <c r="CQ427" s="177"/>
      <c r="CR427" s="177"/>
      <c r="CS427" s="177"/>
      <c r="CT427" s="177"/>
      <c r="CU427" s="177"/>
      <c r="CV427" s="172"/>
      <c r="CW427" s="172"/>
      <c r="CX427" s="172"/>
      <c r="CY427" s="172"/>
      <c r="CZ427" s="172"/>
      <c r="DA427" s="196"/>
      <c r="DC427" s="169"/>
      <c r="DD427" s="177"/>
      <c r="DE427" s="177"/>
      <c r="DF427" s="177"/>
      <c r="DG427" s="177"/>
      <c r="DH427" s="177"/>
      <c r="DI427" s="177"/>
      <c r="DJ427" s="177"/>
      <c r="DK427" s="177"/>
      <c r="DL427" s="177"/>
      <c r="DM427" s="177"/>
      <c r="DN427" s="177"/>
      <c r="DO427" s="177"/>
      <c r="DP427" s="177"/>
      <c r="DQ427" s="172"/>
      <c r="DR427" s="172"/>
      <c r="DS427" s="172"/>
      <c r="DT427" s="172"/>
      <c r="DU427" s="172"/>
      <c r="DV427" s="196"/>
    </row>
    <row r="428" spans="1:126" x14ac:dyDescent="0.2">
      <c r="A428" s="3">
        <v>9</v>
      </c>
      <c r="B428" s="3" t="s">
        <v>123</v>
      </c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CG428" s="179"/>
      <c r="CH428" s="169"/>
      <c r="CI428" s="177"/>
      <c r="CJ428" s="177"/>
      <c r="CK428" s="177"/>
      <c r="CL428" s="177"/>
      <c r="CM428" s="177"/>
      <c r="CN428" s="177"/>
      <c r="CO428" s="177"/>
      <c r="CP428" s="177"/>
      <c r="CQ428" s="177"/>
      <c r="CR428" s="177"/>
      <c r="CS428" s="177"/>
      <c r="CT428" s="177"/>
      <c r="CU428" s="177"/>
      <c r="CV428" s="172"/>
      <c r="CW428" s="172"/>
      <c r="CX428" s="172"/>
      <c r="CY428" s="172"/>
      <c r="CZ428" s="172"/>
      <c r="DA428" s="196"/>
      <c r="DC428" s="169"/>
      <c r="DD428" s="177"/>
      <c r="DE428" s="177"/>
      <c r="DF428" s="177"/>
      <c r="DG428" s="177"/>
      <c r="DH428" s="177"/>
      <c r="DI428" s="177"/>
      <c r="DJ428" s="177"/>
      <c r="DK428" s="177"/>
      <c r="DL428" s="177"/>
      <c r="DM428" s="177"/>
      <c r="DN428" s="177"/>
      <c r="DO428" s="177"/>
      <c r="DP428" s="177"/>
      <c r="DQ428" s="172"/>
      <c r="DR428" s="172"/>
      <c r="DS428" s="172"/>
      <c r="DT428" s="172"/>
      <c r="DU428" s="172"/>
      <c r="DV428" s="196"/>
    </row>
    <row r="429" spans="1:126" x14ac:dyDescent="0.2">
      <c r="A429" s="3">
        <v>10</v>
      </c>
      <c r="B429" s="3" t="s">
        <v>124</v>
      </c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CG429" s="179"/>
      <c r="CH429" s="169"/>
      <c r="CI429" s="177"/>
      <c r="CJ429" s="177"/>
      <c r="CK429" s="177"/>
      <c r="CL429" s="177"/>
      <c r="CM429" s="177"/>
      <c r="CN429" s="177"/>
      <c r="CO429" s="177"/>
      <c r="CP429" s="177"/>
      <c r="CQ429" s="177"/>
      <c r="CR429" s="177"/>
      <c r="CS429" s="177"/>
      <c r="CT429" s="177"/>
      <c r="CU429" s="177"/>
      <c r="CV429" s="172"/>
      <c r="CW429" s="172"/>
      <c r="CX429" s="172"/>
      <c r="CY429" s="172"/>
      <c r="CZ429" s="172"/>
      <c r="DA429" s="196"/>
      <c r="DC429" s="169"/>
      <c r="DD429" s="177"/>
      <c r="DE429" s="177"/>
      <c r="DF429" s="177"/>
      <c r="DG429" s="177"/>
      <c r="DH429" s="177"/>
      <c r="DI429" s="177"/>
      <c r="DJ429" s="177"/>
      <c r="DK429" s="177"/>
      <c r="DL429" s="177"/>
      <c r="DM429" s="177"/>
      <c r="DN429" s="177"/>
      <c r="DO429" s="177"/>
      <c r="DP429" s="177"/>
      <c r="DQ429" s="172"/>
      <c r="DR429" s="172"/>
      <c r="DS429" s="172"/>
      <c r="DT429" s="172"/>
      <c r="DU429" s="172"/>
      <c r="DV429" s="196"/>
    </row>
    <row r="430" spans="1:126" x14ac:dyDescent="0.2">
      <c r="A430" s="3">
        <v>11</v>
      </c>
      <c r="B430" s="3" t="s">
        <v>125</v>
      </c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CG430" s="179"/>
      <c r="CH430" s="169"/>
      <c r="CI430" s="177"/>
      <c r="CJ430" s="177"/>
      <c r="CK430" s="177"/>
      <c r="CL430" s="177"/>
      <c r="CM430" s="177"/>
      <c r="CN430" s="177"/>
      <c r="CO430" s="177"/>
      <c r="CP430" s="177"/>
      <c r="CQ430" s="177"/>
      <c r="CR430" s="177"/>
      <c r="CS430" s="177"/>
      <c r="CT430" s="177"/>
      <c r="CU430" s="177"/>
      <c r="CV430" s="172"/>
      <c r="CW430" s="172"/>
      <c r="CX430" s="172"/>
      <c r="CY430" s="172"/>
      <c r="CZ430" s="172"/>
      <c r="DA430" s="196"/>
      <c r="DC430" s="169"/>
      <c r="DD430" s="177"/>
      <c r="DE430" s="177"/>
      <c r="DF430" s="177"/>
      <c r="DG430" s="177"/>
      <c r="DH430" s="177"/>
      <c r="DI430" s="177"/>
      <c r="DJ430" s="177"/>
      <c r="DK430" s="177"/>
      <c r="DL430" s="177"/>
      <c r="DM430" s="177"/>
      <c r="DN430" s="177"/>
      <c r="DO430" s="177"/>
      <c r="DP430" s="177"/>
      <c r="DQ430" s="172"/>
      <c r="DR430" s="172"/>
      <c r="DS430" s="172"/>
      <c r="DT430" s="172"/>
      <c r="DU430" s="172"/>
      <c r="DV430" s="196"/>
    </row>
    <row r="431" spans="1:126" x14ac:dyDescent="0.2">
      <c r="A431" s="3">
        <v>12</v>
      </c>
      <c r="B431" s="3" t="s">
        <v>126</v>
      </c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CG431" s="179"/>
      <c r="CH431" s="169"/>
      <c r="CI431" s="177"/>
      <c r="CJ431" s="177"/>
      <c r="CK431" s="177"/>
      <c r="CL431" s="177"/>
      <c r="CM431" s="177"/>
      <c r="CN431" s="177"/>
      <c r="CO431" s="177"/>
      <c r="CP431" s="177"/>
      <c r="CQ431" s="177"/>
      <c r="CR431" s="177"/>
      <c r="CS431" s="177"/>
      <c r="CT431" s="177"/>
      <c r="CU431" s="177"/>
      <c r="CV431" s="172"/>
      <c r="CW431" s="172"/>
      <c r="CX431" s="172"/>
      <c r="CY431" s="172"/>
      <c r="CZ431" s="172"/>
      <c r="DA431" s="196"/>
      <c r="DC431" s="169"/>
      <c r="DD431" s="177"/>
      <c r="DE431" s="177"/>
      <c r="DF431" s="177"/>
      <c r="DG431" s="177"/>
      <c r="DH431" s="177"/>
      <c r="DI431" s="177"/>
      <c r="DJ431" s="177"/>
      <c r="DK431" s="177"/>
      <c r="DL431" s="177"/>
      <c r="DM431" s="177"/>
      <c r="DN431" s="177"/>
      <c r="DO431" s="177"/>
      <c r="DP431" s="177"/>
      <c r="DQ431" s="172"/>
      <c r="DR431" s="172"/>
      <c r="DS431" s="172"/>
      <c r="DT431" s="172"/>
      <c r="DU431" s="172"/>
      <c r="DV431" s="196"/>
    </row>
    <row r="432" spans="1:126" x14ac:dyDescent="0.2">
      <c r="A432" s="3">
        <v>13</v>
      </c>
      <c r="B432" s="3" t="s">
        <v>127</v>
      </c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CG432" s="179"/>
      <c r="CH432" s="169"/>
      <c r="CI432" s="177"/>
      <c r="CJ432" s="177"/>
      <c r="CK432" s="177"/>
      <c r="CL432" s="177"/>
      <c r="CM432" s="177"/>
      <c r="CN432" s="177"/>
      <c r="CO432" s="177"/>
      <c r="CP432" s="177"/>
      <c r="CQ432" s="177"/>
      <c r="CR432" s="177"/>
      <c r="CS432" s="177"/>
      <c r="CT432" s="177"/>
      <c r="CU432" s="177"/>
      <c r="CV432" s="172"/>
      <c r="CW432" s="172"/>
      <c r="CX432" s="172"/>
      <c r="CY432" s="172"/>
      <c r="CZ432" s="172"/>
      <c r="DA432" s="196"/>
      <c r="DC432" s="169"/>
      <c r="DD432" s="177"/>
      <c r="DE432" s="177"/>
      <c r="DF432" s="177"/>
      <c r="DG432" s="177"/>
      <c r="DH432" s="177"/>
      <c r="DI432" s="177"/>
      <c r="DJ432" s="177"/>
      <c r="DK432" s="177"/>
      <c r="DL432" s="177"/>
      <c r="DM432" s="177"/>
      <c r="DN432" s="177"/>
      <c r="DO432" s="177"/>
      <c r="DP432" s="177"/>
      <c r="DQ432" s="172"/>
      <c r="DR432" s="172"/>
      <c r="DS432" s="172"/>
      <c r="DT432" s="172"/>
      <c r="DU432" s="172"/>
      <c r="DV432" s="196"/>
    </row>
    <row r="433" spans="1:126" x14ac:dyDescent="0.2">
      <c r="A433" s="3">
        <v>14</v>
      </c>
      <c r="B433" s="3" t="s">
        <v>128</v>
      </c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CG433" s="179"/>
      <c r="CH433" s="197"/>
      <c r="CI433" s="180"/>
      <c r="CJ433" s="180"/>
      <c r="CK433" s="180"/>
      <c r="CL433" s="180"/>
      <c r="CM433" s="180"/>
      <c r="CN433" s="180"/>
      <c r="CO433" s="180"/>
      <c r="CP433" s="180"/>
      <c r="CQ433" s="180"/>
      <c r="CR433" s="180"/>
      <c r="CS433" s="180"/>
      <c r="CT433" s="180"/>
      <c r="CU433" s="180"/>
      <c r="CV433" s="173"/>
      <c r="CW433" s="173"/>
      <c r="CX433" s="173"/>
      <c r="CY433" s="173"/>
      <c r="CZ433" s="173"/>
      <c r="DA433" s="198"/>
      <c r="DC433" s="197"/>
      <c r="DD433" s="180"/>
      <c r="DE433" s="180"/>
      <c r="DF433" s="180"/>
      <c r="DG433" s="180"/>
      <c r="DH433" s="180"/>
      <c r="DI433" s="180"/>
      <c r="DJ433" s="180"/>
      <c r="DK433" s="180"/>
      <c r="DL433" s="180"/>
      <c r="DM433" s="180"/>
      <c r="DN433" s="180"/>
      <c r="DO433" s="180"/>
      <c r="DP433" s="180"/>
      <c r="DQ433" s="173"/>
      <c r="DR433" s="173"/>
      <c r="DS433" s="173"/>
      <c r="DT433" s="173"/>
      <c r="DU433" s="173"/>
      <c r="DV433" s="198"/>
    </row>
    <row r="434" spans="1:126" x14ac:dyDescent="0.2">
      <c r="A434" s="3">
        <v>15</v>
      </c>
      <c r="B434" s="3" t="s">
        <v>129</v>
      </c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CG434" s="179"/>
      <c r="CH434" s="197"/>
      <c r="CI434" s="180"/>
      <c r="CJ434" s="180"/>
      <c r="CK434" s="180"/>
      <c r="CL434" s="180"/>
      <c r="CM434" s="180"/>
      <c r="CN434" s="180"/>
      <c r="CO434" s="180"/>
      <c r="CP434" s="180"/>
      <c r="CQ434" s="180"/>
      <c r="CR434" s="180"/>
      <c r="CS434" s="180"/>
      <c r="CT434" s="180"/>
      <c r="CU434" s="180"/>
      <c r="CV434" s="173"/>
      <c r="CW434" s="173"/>
      <c r="CX434" s="173"/>
      <c r="CY434" s="173"/>
      <c r="CZ434" s="173"/>
      <c r="DA434" s="198"/>
      <c r="DC434" s="197"/>
      <c r="DD434" s="180"/>
      <c r="DE434" s="180"/>
      <c r="DF434" s="180"/>
      <c r="DG434" s="180"/>
      <c r="DH434" s="180"/>
      <c r="DI434" s="180"/>
      <c r="DJ434" s="180"/>
      <c r="DK434" s="180"/>
      <c r="DL434" s="180"/>
      <c r="DM434" s="180"/>
      <c r="DN434" s="180"/>
      <c r="DO434" s="180"/>
      <c r="DP434" s="180"/>
      <c r="DQ434" s="173"/>
      <c r="DR434" s="173"/>
      <c r="DS434" s="173"/>
      <c r="DT434" s="173"/>
      <c r="DU434" s="173"/>
      <c r="DV434" s="198"/>
    </row>
    <row r="435" spans="1:126" x14ac:dyDescent="0.2">
      <c r="A435" s="3">
        <v>16</v>
      </c>
      <c r="B435" s="3" t="s">
        <v>130</v>
      </c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CG435" s="179"/>
      <c r="CH435" s="197"/>
      <c r="CI435" s="180"/>
      <c r="CJ435" s="180"/>
      <c r="CK435" s="180"/>
      <c r="CL435" s="180"/>
      <c r="CM435" s="180"/>
      <c r="CN435" s="180"/>
      <c r="CO435" s="180"/>
      <c r="CP435" s="180"/>
      <c r="CQ435" s="180"/>
      <c r="CR435" s="180"/>
      <c r="CS435" s="180"/>
      <c r="CT435" s="180"/>
      <c r="CU435" s="180"/>
      <c r="CV435" s="173"/>
      <c r="CW435" s="173"/>
      <c r="CX435" s="173"/>
      <c r="CY435" s="173"/>
      <c r="CZ435" s="173"/>
      <c r="DA435" s="198"/>
      <c r="DC435" s="197"/>
      <c r="DD435" s="180"/>
      <c r="DE435" s="180"/>
      <c r="DF435" s="180"/>
      <c r="DG435" s="180"/>
      <c r="DH435" s="180"/>
      <c r="DI435" s="180"/>
      <c r="DJ435" s="180"/>
      <c r="DK435" s="180"/>
      <c r="DL435" s="180"/>
      <c r="DM435" s="180"/>
      <c r="DN435" s="180"/>
      <c r="DO435" s="180"/>
      <c r="DP435" s="180"/>
      <c r="DQ435" s="173"/>
      <c r="DR435" s="173"/>
      <c r="DS435" s="173"/>
      <c r="DT435" s="173"/>
      <c r="DU435" s="173"/>
      <c r="DV435" s="198"/>
    </row>
    <row r="436" spans="1:126" x14ac:dyDescent="0.2">
      <c r="A436" s="3">
        <v>17</v>
      </c>
      <c r="B436" s="3" t="s">
        <v>131</v>
      </c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CG436" s="179"/>
      <c r="CH436" s="197"/>
      <c r="CI436" s="180"/>
      <c r="CJ436" s="180"/>
      <c r="CK436" s="180"/>
      <c r="CL436" s="180"/>
      <c r="CM436" s="180"/>
      <c r="CN436" s="180"/>
      <c r="CO436" s="180"/>
      <c r="CP436" s="180"/>
      <c r="CQ436" s="180"/>
      <c r="CR436" s="180"/>
      <c r="CS436" s="180"/>
      <c r="CT436" s="180"/>
      <c r="CU436" s="180"/>
      <c r="CV436" s="173"/>
      <c r="CW436" s="173"/>
      <c r="CX436" s="173"/>
      <c r="CY436" s="173"/>
      <c r="CZ436" s="173"/>
      <c r="DA436" s="198"/>
      <c r="DC436" s="197"/>
      <c r="DD436" s="180"/>
      <c r="DE436" s="180"/>
      <c r="DF436" s="180"/>
      <c r="DG436" s="180"/>
      <c r="DH436" s="180"/>
      <c r="DI436" s="180"/>
      <c r="DJ436" s="180"/>
      <c r="DK436" s="180"/>
      <c r="DL436" s="180"/>
      <c r="DM436" s="180"/>
      <c r="DN436" s="180"/>
      <c r="DO436" s="180"/>
      <c r="DP436" s="180"/>
      <c r="DQ436" s="173"/>
      <c r="DR436" s="173"/>
      <c r="DS436" s="173"/>
      <c r="DT436" s="173"/>
      <c r="DU436" s="173"/>
      <c r="DV436" s="198"/>
    </row>
    <row r="437" spans="1:126" x14ac:dyDescent="0.2">
      <c r="A437" s="3">
        <v>18</v>
      </c>
      <c r="B437" s="3" t="s">
        <v>132</v>
      </c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CG437" s="179"/>
      <c r="CH437" s="197"/>
      <c r="CI437" s="180"/>
      <c r="CJ437" s="180"/>
      <c r="CK437" s="180"/>
      <c r="CL437" s="180"/>
      <c r="CM437" s="180"/>
      <c r="CN437" s="180"/>
      <c r="CO437" s="180"/>
      <c r="CP437" s="180"/>
      <c r="CQ437" s="180"/>
      <c r="CR437" s="180"/>
      <c r="CS437" s="180"/>
      <c r="CT437" s="180"/>
      <c r="CU437" s="180"/>
      <c r="CV437" s="173"/>
      <c r="CW437" s="173"/>
      <c r="CX437" s="173"/>
      <c r="CY437" s="173"/>
      <c r="CZ437" s="173"/>
      <c r="DA437" s="198"/>
      <c r="DC437" s="197"/>
      <c r="DD437" s="180"/>
      <c r="DE437" s="180"/>
      <c r="DF437" s="180"/>
      <c r="DG437" s="180"/>
      <c r="DH437" s="180"/>
      <c r="DI437" s="180"/>
      <c r="DJ437" s="180"/>
      <c r="DK437" s="180"/>
      <c r="DL437" s="180"/>
      <c r="DM437" s="180"/>
      <c r="DN437" s="180"/>
      <c r="DO437" s="180"/>
      <c r="DP437" s="180"/>
      <c r="DQ437" s="173"/>
      <c r="DR437" s="173"/>
      <c r="DS437" s="173"/>
      <c r="DT437" s="173"/>
      <c r="DU437" s="173"/>
      <c r="DV437" s="198"/>
    </row>
    <row r="438" spans="1:126" x14ac:dyDescent="0.2">
      <c r="A438" s="3">
        <v>19</v>
      </c>
      <c r="B438" s="3" t="s">
        <v>133</v>
      </c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CG438" s="176"/>
      <c r="CH438" s="197"/>
      <c r="CI438" s="180"/>
      <c r="CJ438" s="180"/>
      <c r="CK438" s="180"/>
      <c r="CL438" s="180"/>
      <c r="CM438" s="180"/>
      <c r="CN438" s="180"/>
      <c r="CO438" s="180"/>
      <c r="CP438" s="180"/>
      <c r="CQ438" s="180"/>
      <c r="CR438" s="180"/>
      <c r="CS438" s="180"/>
      <c r="CT438" s="180"/>
      <c r="CU438" s="180"/>
      <c r="CV438" s="173"/>
      <c r="CW438" s="173"/>
      <c r="CX438" s="173"/>
      <c r="CY438" s="173"/>
      <c r="CZ438" s="173"/>
      <c r="DA438" s="198"/>
      <c r="DC438" s="197"/>
      <c r="DD438" s="180"/>
      <c r="DE438" s="180"/>
      <c r="DF438" s="180"/>
      <c r="DG438" s="180"/>
      <c r="DH438" s="180"/>
      <c r="DI438" s="180"/>
      <c r="DJ438" s="180"/>
      <c r="DK438" s="180"/>
      <c r="DL438" s="180"/>
      <c r="DM438" s="180"/>
      <c r="DN438" s="180"/>
      <c r="DO438" s="180"/>
      <c r="DP438" s="180"/>
      <c r="DQ438" s="173"/>
      <c r="DR438" s="173"/>
      <c r="DS438" s="173"/>
      <c r="DT438" s="173"/>
      <c r="DU438" s="173"/>
      <c r="DV438" s="198"/>
    </row>
    <row r="439" spans="1:126" x14ac:dyDescent="0.2">
      <c r="A439" s="3">
        <v>20</v>
      </c>
      <c r="B439" s="3" t="s">
        <v>134</v>
      </c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CG439" s="176"/>
      <c r="CH439" s="197"/>
      <c r="CI439" s="180"/>
      <c r="CJ439" s="180"/>
      <c r="CK439" s="180"/>
      <c r="CL439" s="180"/>
      <c r="CM439" s="180"/>
      <c r="CN439" s="180"/>
      <c r="CO439" s="180"/>
      <c r="CP439" s="180"/>
      <c r="CQ439" s="180"/>
      <c r="CR439" s="180"/>
      <c r="CS439" s="180"/>
      <c r="CT439" s="180"/>
      <c r="CU439" s="180"/>
      <c r="CV439" s="173"/>
      <c r="CW439" s="173"/>
      <c r="CX439" s="173"/>
      <c r="CY439" s="173"/>
      <c r="CZ439" s="173"/>
      <c r="DA439" s="198"/>
      <c r="DC439" s="197"/>
      <c r="DD439" s="180"/>
      <c r="DE439" s="180"/>
      <c r="DF439" s="180"/>
      <c r="DG439" s="180"/>
      <c r="DH439" s="180"/>
      <c r="DI439" s="180"/>
      <c r="DJ439" s="180"/>
      <c r="DK439" s="180"/>
      <c r="DL439" s="180"/>
      <c r="DM439" s="180"/>
      <c r="DN439" s="180"/>
      <c r="DO439" s="180"/>
      <c r="DP439" s="180"/>
      <c r="DQ439" s="173"/>
      <c r="DR439" s="173"/>
      <c r="DS439" s="173"/>
      <c r="DT439" s="173"/>
      <c r="DU439" s="173"/>
      <c r="DV439" s="198"/>
    </row>
    <row r="440" spans="1:126" x14ac:dyDescent="0.2">
      <c r="A440" s="3">
        <v>21</v>
      </c>
      <c r="B440" s="3" t="s">
        <v>135</v>
      </c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CG440" s="176"/>
      <c r="CH440" s="199"/>
      <c r="CI440" s="200"/>
      <c r="CJ440" s="200"/>
      <c r="CK440" s="200"/>
      <c r="CL440" s="200"/>
      <c r="CM440" s="200"/>
      <c r="CN440" s="200"/>
      <c r="CO440" s="200"/>
      <c r="CP440" s="200"/>
      <c r="CQ440" s="201"/>
      <c r="CR440" s="202"/>
      <c r="CS440" s="200"/>
      <c r="CT440" s="200"/>
      <c r="CU440" s="200"/>
      <c r="CV440" s="203"/>
      <c r="CW440" s="203"/>
      <c r="CX440" s="203"/>
      <c r="CY440" s="203"/>
      <c r="CZ440" s="203"/>
      <c r="DA440" s="204"/>
      <c r="DC440" s="199"/>
      <c r="DD440" s="200"/>
      <c r="DE440" s="200"/>
      <c r="DF440" s="200"/>
      <c r="DG440" s="200"/>
      <c r="DH440" s="200"/>
      <c r="DI440" s="200"/>
      <c r="DJ440" s="200"/>
      <c r="DK440" s="200"/>
      <c r="DL440" s="200"/>
      <c r="DM440" s="200"/>
      <c r="DN440" s="200"/>
      <c r="DO440" s="200"/>
      <c r="DP440" s="200"/>
      <c r="DQ440" s="203"/>
      <c r="DR440" s="203"/>
      <c r="DS440" s="203"/>
      <c r="DT440" s="203"/>
      <c r="DU440" s="203"/>
      <c r="DV440" s="204"/>
    </row>
    <row r="441" spans="1:126" x14ac:dyDescent="0.2">
      <c r="A441" s="3">
        <v>22</v>
      </c>
      <c r="B441" s="3" t="s">
        <v>136</v>
      </c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CG441" s="176">
        <v>23</v>
      </c>
      <c r="CH441" s="192"/>
      <c r="CI441" s="193"/>
      <c r="CJ441" s="193"/>
      <c r="CK441" s="193"/>
      <c r="CL441" s="193"/>
      <c r="CM441" s="193"/>
      <c r="CN441" s="193"/>
      <c r="CO441" s="193"/>
      <c r="CP441" s="193"/>
      <c r="CQ441" s="193"/>
      <c r="CR441" s="193"/>
      <c r="CS441" s="193"/>
      <c r="CT441" s="193"/>
      <c r="CU441" s="193"/>
      <c r="CV441" s="194"/>
      <c r="CW441" s="194"/>
      <c r="CX441" s="194"/>
      <c r="CY441" s="194"/>
      <c r="CZ441" s="194"/>
      <c r="DA441" s="195"/>
      <c r="DC441" s="192"/>
      <c r="DD441" s="193"/>
      <c r="DE441" s="193"/>
      <c r="DF441" s="193"/>
      <c r="DG441" s="193"/>
      <c r="DH441" s="193"/>
      <c r="DI441" s="193"/>
      <c r="DJ441" s="193"/>
      <c r="DK441" s="193"/>
      <c r="DL441" s="193"/>
      <c r="DM441" s="193"/>
      <c r="DN441" s="193"/>
      <c r="DO441" s="193"/>
      <c r="DP441" s="193"/>
      <c r="DQ441" s="194"/>
      <c r="DR441" s="194"/>
      <c r="DS441" s="194"/>
      <c r="DT441" s="194"/>
      <c r="DU441" s="194"/>
      <c r="DV441" s="195"/>
    </row>
    <row r="442" spans="1:126" x14ac:dyDescent="0.2">
      <c r="A442" s="3">
        <v>23</v>
      </c>
      <c r="B442" s="3" t="s">
        <v>137</v>
      </c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CG442" s="176"/>
      <c r="CH442" s="169"/>
      <c r="CI442" s="177"/>
      <c r="CJ442" s="177"/>
      <c r="CK442" s="177"/>
      <c r="CL442" s="177"/>
      <c r="CM442" s="177"/>
      <c r="CN442" s="177"/>
      <c r="CO442" s="177"/>
      <c r="CP442" s="177"/>
      <c r="CQ442" s="177"/>
      <c r="CR442" s="177"/>
      <c r="CS442" s="177"/>
      <c r="CT442" s="177"/>
      <c r="CU442" s="177"/>
      <c r="CV442" s="172"/>
      <c r="CW442" s="172"/>
      <c r="CX442" s="172"/>
      <c r="CY442" s="172"/>
      <c r="CZ442" s="172"/>
      <c r="DA442" s="196"/>
      <c r="DC442" s="169"/>
      <c r="DD442" s="177"/>
      <c r="DE442" s="177"/>
      <c r="DF442" s="177"/>
      <c r="DG442" s="177"/>
      <c r="DH442" s="177"/>
      <c r="DI442" s="177"/>
      <c r="DJ442" s="177"/>
      <c r="DK442" s="177"/>
      <c r="DL442" s="177"/>
      <c r="DM442" s="177"/>
      <c r="DN442" s="177"/>
      <c r="DO442" s="177"/>
      <c r="DP442" s="177"/>
      <c r="DQ442" s="172"/>
      <c r="DR442" s="172"/>
      <c r="DS442" s="172"/>
      <c r="DT442" s="172"/>
      <c r="DU442" s="172"/>
      <c r="DV442" s="196"/>
    </row>
    <row r="443" spans="1:126" x14ac:dyDescent="0.2">
      <c r="A443" s="3">
        <v>24</v>
      </c>
      <c r="B443" s="3" t="s">
        <v>138</v>
      </c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CG443" s="131"/>
      <c r="CH443" s="169"/>
      <c r="CI443" s="177"/>
      <c r="CJ443" s="177"/>
      <c r="CK443" s="177"/>
      <c r="CL443" s="177"/>
      <c r="CM443" s="177"/>
      <c r="CN443" s="177"/>
      <c r="CO443" s="177"/>
      <c r="CP443" s="177"/>
      <c r="CQ443" s="177"/>
      <c r="CR443" s="177"/>
      <c r="CS443" s="177"/>
      <c r="CT443" s="177"/>
      <c r="CU443" s="177"/>
      <c r="CV443" s="172"/>
      <c r="CW443" s="172"/>
      <c r="CX443" s="172"/>
      <c r="CY443" s="172"/>
      <c r="CZ443" s="172"/>
      <c r="DA443" s="196"/>
      <c r="DC443" s="169"/>
      <c r="DD443" s="177"/>
      <c r="DE443" s="177"/>
      <c r="DF443" s="177"/>
      <c r="DG443" s="177"/>
      <c r="DH443" s="177"/>
      <c r="DI443" s="177"/>
      <c r="DJ443" s="177"/>
      <c r="DK443" s="177"/>
      <c r="DL443" s="177"/>
      <c r="DM443" s="177"/>
      <c r="DN443" s="177"/>
      <c r="DO443" s="177"/>
      <c r="DP443" s="177"/>
      <c r="DQ443" s="172"/>
      <c r="DR443" s="172"/>
      <c r="DS443" s="172"/>
      <c r="DT443" s="172"/>
      <c r="DU443" s="172"/>
      <c r="DV443" s="196"/>
    </row>
    <row r="444" spans="1:126" x14ac:dyDescent="0.2">
      <c r="A444" s="3">
        <v>25</v>
      </c>
      <c r="B444" s="3" t="s">
        <v>139</v>
      </c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CG444" s="176"/>
      <c r="CH444" s="169"/>
      <c r="CI444" s="177"/>
      <c r="CJ444" s="177"/>
      <c r="CK444" s="177"/>
      <c r="CL444" s="177"/>
      <c r="CM444" s="177"/>
      <c r="CN444" s="177"/>
      <c r="CO444" s="177"/>
      <c r="CP444" s="177"/>
      <c r="CQ444" s="177"/>
      <c r="CR444" s="177"/>
      <c r="CS444" s="177"/>
      <c r="CT444" s="177"/>
      <c r="CU444" s="177"/>
      <c r="CV444" s="172"/>
      <c r="CW444" s="172"/>
      <c r="CX444" s="172"/>
      <c r="CY444" s="172"/>
      <c r="CZ444" s="172"/>
      <c r="DA444" s="196"/>
      <c r="DC444" s="169"/>
      <c r="DD444" s="177"/>
      <c r="DE444" s="177"/>
      <c r="DF444" s="177"/>
      <c r="DG444" s="177"/>
      <c r="DH444" s="177"/>
      <c r="DI444" s="177"/>
      <c r="DJ444" s="177"/>
      <c r="DK444" s="177"/>
      <c r="DL444" s="177"/>
      <c r="DM444" s="177"/>
      <c r="DN444" s="177"/>
      <c r="DO444" s="177"/>
      <c r="DP444" s="177"/>
      <c r="DQ444" s="172"/>
      <c r="DR444" s="172"/>
      <c r="DS444" s="172"/>
      <c r="DT444" s="172"/>
      <c r="DU444" s="172"/>
      <c r="DV444" s="196"/>
    </row>
    <row r="445" spans="1:126" x14ac:dyDescent="0.2">
      <c r="A445" s="3">
        <v>26</v>
      </c>
      <c r="B445" s="3" t="s">
        <v>140</v>
      </c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CG445" s="178"/>
      <c r="CH445" s="169"/>
      <c r="CI445" s="177"/>
      <c r="CJ445" s="177"/>
      <c r="CK445" s="177"/>
      <c r="CL445" s="177"/>
      <c r="CM445" s="177"/>
      <c r="CN445" s="177"/>
      <c r="CO445" s="177"/>
      <c r="CP445" s="177"/>
      <c r="CQ445" s="177"/>
      <c r="CR445" s="177"/>
      <c r="CS445" s="177"/>
      <c r="CT445" s="177"/>
      <c r="CU445" s="177"/>
      <c r="CV445" s="172"/>
      <c r="CW445" s="172"/>
      <c r="CX445" s="172"/>
      <c r="CY445" s="172"/>
      <c r="CZ445" s="172"/>
      <c r="DA445" s="196"/>
      <c r="DC445" s="169"/>
      <c r="DD445" s="177"/>
      <c r="DE445" s="177"/>
      <c r="DF445" s="177"/>
      <c r="DG445" s="177"/>
      <c r="DH445" s="177"/>
      <c r="DI445" s="177"/>
      <c r="DJ445" s="177"/>
      <c r="DK445" s="177"/>
      <c r="DL445" s="177"/>
      <c r="DM445" s="177"/>
      <c r="DN445" s="177"/>
      <c r="DO445" s="177"/>
      <c r="DP445" s="177"/>
      <c r="DQ445" s="172"/>
      <c r="DR445" s="172"/>
      <c r="DS445" s="172"/>
      <c r="DT445" s="172"/>
      <c r="DU445" s="172"/>
      <c r="DV445" s="196"/>
    </row>
    <row r="446" spans="1:126" x14ac:dyDescent="0.2">
      <c r="A446" s="3">
        <v>27</v>
      </c>
      <c r="B446" s="3" t="s">
        <v>141</v>
      </c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CG446" s="179"/>
      <c r="CH446" s="169"/>
      <c r="CI446" s="177"/>
      <c r="CJ446" s="177"/>
      <c r="CK446" s="177"/>
      <c r="CL446" s="177"/>
      <c r="CM446" s="177"/>
      <c r="CN446" s="177"/>
      <c r="CO446" s="177"/>
      <c r="CP446" s="177"/>
      <c r="CQ446" s="177"/>
      <c r="CR446" s="177"/>
      <c r="CS446" s="177"/>
      <c r="CT446" s="177"/>
      <c r="CU446" s="177"/>
      <c r="CV446" s="172"/>
      <c r="CW446" s="172"/>
      <c r="CX446" s="172"/>
      <c r="CY446" s="172"/>
      <c r="CZ446" s="172"/>
      <c r="DA446" s="196"/>
      <c r="DC446" s="169"/>
      <c r="DD446" s="177"/>
      <c r="DE446" s="177"/>
      <c r="DF446" s="177"/>
      <c r="DG446" s="177"/>
      <c r="DH446" s="177"/>
      <c r="DI446" s="177"/>
      <c r="DJ446" s="177"/>
      <c r="DK446" s="177"/>
      <c r="DL446" s="177"/>
      <c r="DM446" s="177"/>
      <c r="DN446" s="177"/>
      <c r="DO446" s="177"/>
      <c r="DP446" s="177"/>
      <c r="DQ446" s="172"/>
      <c r="DR446" s="172"/>
      <c r="DS446" s="172"/>
      <c r="DT446" s="172"/>
      <c r="DU446" s="172"/>
      <c r="DV446" s="196"/>
    </row>
    <row r="447" spans="1:126" x14ac:dyDescent="0.2">
      <c r="A447" s="3">
        <v>28</v>
      </c>
      <c r="B447" s="3" t="s">
        <v>142</v>
      </c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CG447" s="179"/>
      <c r="CH447" s="169"/>
      <c r="CI447" s="177"/>
      <c r="CJ447" s="177"/>
      <c r="CK447" s="177"/>
      <c r="CL447" s="177"/>
      <c r="CM447" s="177"/>
      <c r="CN447" s="177"/>
      <c r="CO447" s="177"/>
      <c r="CP447" s="177"/>
      <c r="CQ447" s="177"/>
      <c r="CR447" s="177"/>
      <c r="CS447" s="177"/>
      <c r="CT447" s="177"/>
      <c r="CU447" s="177"/>
      <c r="CV447" s="172"/>
      <c r="CW447" s="172"/>
      <c r="CX447" s="172"/>
      <c r="CY447" s="172"/>
      <c r="CZ447" s="172"/>
      <c r="DA447" s="196"/>
      <c r="DC447" s="169"/>
      <c r="DD447" s="177"/>
      <c r="DE447" s="177"/>
      <c r="DF447" s="177"/>
      <c r="DG447" s="177"/>
      <c r="DH447" s="177"/>
      <c r="DI447" s="177"/>
      <c r="DJ447" s="177"/>
      <c r="DK447" s="177"/>
      <c r="DL447" s="177"/>
      <c r="DM447" s="177"/>
      <c r="DN447" s="177"/>
      <c r="DO447" s="177"/>
      <c r="DP447" s="177"/>
      <c r="DQ447" s="172"/>
      <c r="DR447" s="172"/>
      <c r="DS447" s="172"/>
      <c r="DT447" s="172"/>
      <c r="DU447" s="172"/>
      <c r="DV447" s="196"/>
    </row>
    <row r="448" spans="1:126" x14ac:dyDescent="0.2">
      <c r="A448" s="3">
        <v>29</v>
      </c>
      <c r="B448" s="3" t="s">
        <v>143</v>
      </c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CG448" s="179"/>
      <c r="CH448" s="169"/>
      <c r="CI448" s="177"/>
      <c r="CJ448" s="177"/>
      <c r="CK448" s="177"/>
      <c r="CL448" s="177"/>
      <c r="CM448" s="177"/>
      <c r="CN448" s="177"/>
      <c r="CO448" s="177"/>
      <c r="CP448" s="177"/>
      <c r="CQ448" s="177"/>
      <c r="CR448" s="177"/>
      <c r="CS448" s="177"/>
      <c r="CT448" s="177"/>
      <c r="CU448" s="177"/>
      <c r="CV448" s="172"/>
      <c r="CW448" s="172"/>
      <c r="CX448" s="172"/>
      <c r="CY448" s="172"/>
      <c r="CZ448" s="172"/>
      <c r="DA448" s="196"/>
      <c r="DC448" s="169"/>
      <c r="DD448" s="177"/>
      <c r="DE448" s="177"/>
      <c r="DF448" s="177"/>
      <c r="DG448" s="177"/>
      <c r="DH448" s="177"/>
      <c r="DI448" s="177"/>
      <c r="DJ448" s="177"/>
      <c r="DK448" s="177"/>
      <c r="DL448" s="177"/>
      <c r="DM448" s="177"/>
      <c r="DN448" s="177"/>
      <c r="DO448" s="177"/>
      <c r="DP448" s="177"/>
      <c r="DQ448" s="172"/>
      <c r="DR448" s="172"/>
      <c r="DS448" s="172"/>
      <c r="DT448" s="172"/>
      <c r="DU448" s="172"/>
      <c r="DV448" s="196"/>
    </row>
    <row r="449" spans="1:126" x14ac:dyDescent="0.2">
      <c r="A449" s="3">
        <v>30</v>
      </c>
      <c r="B449" s="3" t="s">
        <v>144</v>
      </c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CG449" s="179"/>
      <c r="CH449" s="169"/>
      <c r="CI449" s="177"/>
      <c r="CJ449" s="177"/>
      <c r="CK449" s="177"/>
      <c r="CL449" s="177"/>
      <c r="CM449" s="177"/>
      <c r="CN449" s="177"/>
      <c r="CO449" s="177"/>
      <c r="CP449" s="177"/>
      <c r="CQ449" s="177"/>
      <c r="CR449" s="177"/>
      <c r="CS449" s="177"/>
      <c r="CT449" s="177"/>
      <c r="CU449" s="177"/>
      <c r="CV449" s="172"/>
      <c r="CW449" s="172"/>
      <c r="CX449" s="172"/>
      <c r="CY449" s="172"/>
      <c r="CZ449" s="172"/>
      <c r="DA449" s="196"/>
      <c r="DC449" s="169"/>
      <c r="DD449" s="177"/>
      <c r="DE449" s="177"/>
      <c r="DF449" s="177"/>
      <c r="DG449" s="177"/>
      <c r="DH449" s="177"/>
      <c r="DI449" s="177"/>
      <c r="DJ449" s="177"/>
      <c r="DK449" s="177"/>
      <c r="DL449" s="177"/>
      <c r="DM449" s="177"/>
      <c r="DN449" s="177"/>
      <c r="DO449" s="177"/>
      <c r="DP449" s="177"/>
      <c r="DQ449" s="172"/>
      <c r="DR449" s="172"/>
      <c r="DS449" s="172"/>
      <c r="DT449" s="172"/>
      <c r="DU449" s="172"/>
      <c r="DV449" s="196"/>
    </row>
    <row r="450" spans="1:126" x14ac:dyDescent="0.2">
      <c r="A450" s="3">
        <v>31</v>
      </c>
      <c r="B450" s="3" t="s">
        <v>145</v>
      </c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CG450" s="179"/>
      <c r="CH450" s="169"/>
      <c r="CI450" s="177"/>
      <c r="CJ450" s="177"/>
      <c r="CK450" s="177"/>
      <c r="CL450" s="177"/>
      <c r="CM450" s="177"/>
      <c r="CN450" s="177"/>
      <c r="CO450" s="177"/>
      <c r="CP450" s="177"/>
      <c r="CQ450" s="177"/>
      <c r="CR450" s="177"/>
      <c r="CS450" s="177"/>
      <c r="CT450" s="177"/>
      <c r="CU450" s="177"/>
      <c r="CV450" s="172"/>
      <c r="CW450" s="172"/>
      <c r="CX450" s="172"/>
      <c r="CY450" s="172"/>
      <c r="CZ450" s="172"/>
      <c r="DA450" s="196"/>
      <c r="DC450" s="169"/>
      <c r="DD450" s="177"/>
      <c r="DE450" s="177"/>
      <c r="DF450" s="177"/>
      <c r="DG450" s="177"/>
      <c r="DH450" s="177"/>
      <c r="DI450" s="177"/>
      <c r="DJ450" s="177"/>
      <c r="DK450" s="177"/>
      <c r="DL450" s="177"/>
      <c r="DM450" s="177"/>
      <c r="DN450" s="177"/>
      <c r="DO450" s="177"/>
      <c r="DP450" s="177"/>
      <c r="DQ450" s="172"/>
      <c r="DR450" s="172"/>
      <c r="DS450" s="172"/>
      <c r="DT450" s="172"/>
      <c r="DU450" s="172"/>
      <c r="DV450" s="196"/>
    </row>
    <row r="451" spans="1:126" x14ac:dyDescent="0.2">
      <c r="A451" s="3">
        <v>32</v>
      </c>
      <c r="B451" s="3" t="s">
        <v>146</v>
      </c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CG451" s="179"/>
      <c r="CH451" s="169"/>
      <c r="CI451" s="177"/>
      <c r="CJ451" s="177"/>
      <c r="CK451" s="177"/>
      <c r="CL451" s="177"/>
      <c r="CM451" s="177"/>
      <c r="CN451" s="177"/>
      <c r="CO451" s="177"/>
      <c r="CP451" s="177"/>
      <c r="CQ451" s="177"/>
      <c r="CR451" s="177"/>
      <c r="CS451" s="177"/>
      <c r="CT451" s="177"/>
      <c r="CU451" s="177"/>
      <c r="CV451" s="172"/>
      <c r="CW451" s="172"/>
      <c r="CX451" s="172"/>
      <c r="CY451" s="172"/>
      <c r="CZ451" s="172"/>
      <c r="DA451" s="196"/>
      <c r="DC451" s="169"/>
      <c r="DD451" s="177"/>
      <c r="DE451" s="177"/>
      <c r="DF451" s="177"/>
      <c r="DG451" s="177"/>
      <c r="DH451" s="177"/>
      <c r="DI451" s="177"/>
      <c r="DJ451" s="177"/>
      <c r="DK451" s="177"/>
      <c r="DL451" s="177"/>
      <c r="DM451" s="177"/>
      <c r="DN451" s="177"/>
      <c r="DO451" s="177"/>
      <c r="DP451" s="177"/>
      <c r="DQ451" s="172"/>
      <c r="DR451" s="172"/>
      <c r="DS451" s="172"/>
      <c r="DT451" s="172"/>
      <c r="DU451" s="172"/>
      <c r="DV451" s="196"/>
    </row>
    <row r="452" spans="1:126" x14ac:dyDescent="0.2">
      <c r="A452" s="3">
        <v>33</v>
      </c>
      <c r="B452" s="3" t="s">
        <v>147</v>
      </c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CG452" s="179"/>
      <c r="CH452" s="169"/>
      <c r="CI452" s="177"/>
      <c r="CJ452" s="177"/>
      <c r="CK452" s="177"/>
      <c r="CL452" s="177"/>
      <c r="CM452" s="177"/>
      <c r="CN452" s="177"/>
      <c r="CO452" s="177"/>
      <c r="CP452" s="177"/>
      <c r="CQ452" s="177"/>
      <c r="CR452" s="177"/>
      <c r="CS452" s="177"/>
      <c r="CT452" s="177"/>
      <c r="CU452" s="177"/>
      <c r="CV452" s="172"/>
      <c r="CW452" s="172"/>
      <c r="CX452" s="172"/>
      <c r="CY452" s="172"/>
      <c r="CZ452" s="172"/>
      <c r="DA452" s="196"/>
      <c r="DC452" s="169"/>
      <c r="DD452" s="177"/>
      <c r="DE452" s="177"/>
      <c r="DF452" s="177"/>
      <c r="DG452" s="177"/>
      <c r="DH452" s="177"/>
      <c r="DI452" s="177"/>
      <c r="DJ452" s="177"/>
      <c r="DK452" s="177"/>
      <c r="DL452" s="177"/>
      <c r="DM452" s="177"/>
      <c r="DN452" s="177"/>
      <c r="DO452" s="177"/>
      <c r="DP452" s="177"/>
      <c r="DQ452" s="172"/>
      <c r="DR452" s="172"/>
      <c r="DS452" s="172"/>
      <c r="DT452" s="172"/>
      <c r="DU452" s="172"/>
      <c r="DV452" s="196"/>
    </row>
    <row r="453" spans="1:126" x14ac:dyDescent="0.2">
      <c r="A453" s="3">
        <v>34</v>
      </c>
      <c r="B453" s="3" t="s">
        <v>148</v>
      </c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CG453" s="179"/>
      <c r="CH453" s="197"/>
      <c r="CI453" s="180"/>
      <c r="CJ453" s="180"/>
      <c r="CK453" s="180"/>
      <c r="CL453" s="180"/>
      <c r="CM453" s="180"/>
      <c r="CN453" s="180"/>
      <c r="CO453" s="180"/>
      <c r="CP453" s="180"/>
      <c r="CQ453" s="180"/>
      <c r="CR453" s="180"/>
      <c r="CS453" s="180"/>
      <c r="CT453" s="180"/>
      <c r="CU453" s="180"/>
      <c r="CV453" s="173"/>
      <c r="CW453" s="173"/>
      <c r="CX453" s="173"/>
      <c r="CY453" s="173"/>
      <c r="CZ453" s="173"/>
      <c r="DA453" s="198"/>
      <c r="DC453" s="197"/>
      <c r="DD453" s="180"/>
      <c r="DE453" s="180"/>
      <c r="DF453" s="180"/>
      <c r="DG453" s="180"/>
      <c r="DH453" s="180"/>
      <c r="DI453" s="180"/>
      <c r="DJ453" s="180"/>
      <c r="DK453" s="180"/>
      <c r="DL453" s="180"/>
      <c r="DM453" s="180"/>
      <c r="DN453" s="180"/>
      <c r="DO453" s="180"/>
      <c r="DP453" s="180"/>
      <c r="DQ453" s="173"/>
      <c r="DR453" s="173"/>
      <c r="DS453" s="173"/>
      <c r="DT453" s="173"/>
      <c r="DU453" s="173"/>
      <c r="DV453" s="198"/>
    </row>
    <row r="454" spans="1:126" x14ac:dyDescent="0.2">
      <c r="A454" s="3">
        <v>35</v>
      </c>
      <c r="B454" s="3" t="s">
        <v>149</v>
      </c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CG454" s="179"/>
      <c r="CH454" s="197"/>
      <c r="CI454" s="180"/>
      <c r="CJ454" s="180"/>
      <c r="CK454" s="180"/>
      <c r="CL454" s="180"/>
      <c r="CM454" s="180"/>
      <c r="CN454" s="180"/>
      <c r="CO454" s="180"/>
      <c r="CP454" s="180"/>
      <c r="CQ454" s="180"/>
      <c r="CR454" s="180"/>
      <c r="CS454" s="180"/>
      <c r="CT454" s="180"/>
      <c r="CU454" s="180"/>
      <c r="CV454" s="173"/>
      <c r="CW454" s="173"/>
      <c r="CX454" s="173"/>
      <c r="CY454" s="173"/>
      <c r="CZ454" s="173"/>
      <c r="DA454" s="198"/>
      <c r="DC454" s="197"/>
      <c r="DD454" s="180"/>
      <c r="DE454" s="180"/>
      <c r="DF454" s="180"/>
      <c r="DG454" s="180"/>
      <c r="DH454" s="180"/>
      <c r="DI454" s="180"/>
      <c r="DJ454" s="180"/>
      <c r="DK454" s="180"/>
      <c r="DL454" s="180"/>
      <c r="DM454" s="180"/>
      <c r="DN454" s="180"/>
      <c r="DO454" s="180"/>
      <c r="DP454" s="180"/>
      <c r="DQ454" s="173"/>
      <c r="DR454" s="173"/>
      <c r="DS454" s="173"/>
      <c r="DT454" s="173"/>
      <c r="DU454" s="173"/>
      <c r="DV454" s="198"/>
    </row>
    <row r="455" spans="1:126" x14ac:dyDescent="0.2">
      <c r="A455" s="3">
        <v>36</v>
      </c>
      <c r="B455" s="3" t="s">
        <v>150</v>
      </c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CG455" s="179"/>
      <c r="CH455" s="197"/>
      <c r="CI455" s="180"/>
      <c r="CJ455" s="180"/>
      <c r="CK455" s="180"/>
      <c r="CL455" s="180"/>
      <c r="CM455" s="180"/>
      <c r="CN455" s="180"/>
      <c r="CO455" s="180"/>
      <c r="CP455" s="180"/>
      <c r="CQ455" s="180"/>
      <c r="CR455" s="180"/>
      <c r="CS455" s="180"/>
      <c r="CT455" s="180"/>
      <c r="CU455" s="180"/>
      <c r="CV455" s="173"/>
      <c r="CW455" s="173"/>
      <c r="CX455" s="173"/>
      <c r="CY455" s="173"/>
      <c r="CZ455" s="173"/>
      <c r="DA455" s="198"/>
      <c r="DC455" s="197"/>
      <c r="DD455" s="180"/>
      <c r="DE455" s="180"/>
      <c r="DF455" s="180"/>
      <c r="DG455" s="180"/>
      <c r="DH455" s="180"/>
      <c r="DI455" s="180"/>
      <c r="DJ455" s="180"/>
      <c r="DK455" s="180"/>
      <c r="DL455" s="180"/>
      <c r="DM455" s="180"/>
      <c r="DN455" s="180"/>
      <c r="DO455" s="180"/>
      <c r="DP455" s="180"/>
      <c r="DQ455" s="173"/>
      <c r="DR455" s="173"/>
      <c r="DS455" s="173"/>
      <c r="DT455" s="173"/>
      <c r="DU455" s="173"/>
      <c r="DV455" s="198"/>
    </row>
    <row r="456" spans="1:126" x14ac:dyDescent="0.2">
      <c r="A456" s="3">
        <v>37</v>
      </c>
      <c r="B456" s="3" t="s">
        <v>151</v>
      </c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CG456" s="179"/>
      <c r="CH456" s="197"/>
      <c r="CI456" s="180"/>
      <c r="CJ456" s="180"/>
      <c r="CK456" s="180"/>
      <c r="CL456" s="180"/>
      <c r="CM456" s="180"/>
      <c r="CN456" s="180"/>
      <c r="CO456" s="180"/>
      <c r="CP456" s="180"/>
      <c r="CQ456" s="180"/>
      <c r="CR456" s="180"/>
      <c r="CS456" s="180"/>
      <c r="CT456" s="180"/>
      <c r="CU456" s="180"/>
      <c r="CV456" s="173"/>
      <c r="CW456" s="173"/>
      <c r="CX456" s="173"/>
      <c r="CY456" s="173"/>
      <c r="CZ456" s="173"/>
      <c r="DA456" s="198"/>
      <c r="DC456" s="197"/>
      <c r="DD456" s="180"/>
      <c r="DE456" s="180"/>
      <c r="DF456" s="180"/>
      <c r="DG456" s="180"/>
      <c r="DH456" s="180"/>
      <c r="DI456" s="180"/>
      <c r="DJ456" s="180"/>
      <c r="DK456" s="180"/>
      <c r="DL456" s="180"/>
      <c r="DM456" s="180"/>
      <c r="DN456" s="180"/>
      <c r="DO456" s="180"/>
      <c r="DP456" s="180"/>
      <c r="DQ456" s="173"/>
      <c r="DR456" s="173"/>
      <c r="DS456" s="173"/>
      <c r="DT456" s="173"/>
      <c r="DU456" s="173"/>
      <c r="DV456" s="198"/>
    </row>
    <row r="457" spans="1:126" x14ac:dyDescent="0.2">
      <c r="A457" s="3">
        <v>38</v>
      </c>
      <c r="B457" s="3" t="s">
        <v>152</v>
      </c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CG457" s="179"/>
      <c r="CH457" s="197"/>
      <c r="CI457" s="180"/>
      <c r="CJ457" s="180"/>
      <c r="CK457" s="180"/>
      <c r="CL457" s="180"/>
      <c r="CM457" s="180"/>
      <c r="CN457" s="180"/>
      <c r="CO457" s="180"/>
      <c r="CP457" s="180"/>
      <c r="CQ457" s="180"/>
      <c r="CR457" s="180"/>
      <c r="CS457" s="180"/>
      <c r="CT457" s="180"/>
      <c r="CU457" s="180"/>
      <c r="CV457" s="173"/>
      <c r="CW457" s="173"/>
      <c r="CX457" s="173"/>
      <c r="CY457" s="173"/>
      <c r="CZ457" s="173"/>
      <c r="DA457" s="198"/>
      <c r="DC457" s="197"/>
      <c r="DD457" s="180"/>
      <c r="DE457" s="180"/>
      <c r="DF457" s="180"/>
      <c r="DG457" s="180"/>
      <c r="DH457" s="180"/>
      <c r="DI457" s="180"/>
      <c r="DJ457" s="180"/>
      <c r="DK457" s="180"/>
      <c r="DL457" s="180"/>
      <c r="DM457" s="180"/>
      <c r="DN457" s="180"/>
      <c r="DO457" s="180"/>
      <c r="DP457" s="180"/>
      <c r="DQ457" s="173"/>
      <c r="DR457" s="173"/>
      <c r="DS457" s="173"/>
      <c r="DT457" s="173"/>
      <c r="DU457" s="173"/>
      <c r="DV457" s="198"/>
    </row>
    <row r="458" spans="1:126" x14ac:dyDescent="0.2">
      <c r="A458" s="3">
        <v>39</v>
      </c>
      <c r="B458" s="3" t="s">
        <v>153</v>
      </c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CG458" s="176"/>
      <c r="CH458" s="197"/>
      <c r="CI458" s="180"/>
      <c r="CJ458" s="180"/>
      <c r="CK458" s="180"/>
      <c r="CL458" s="180"/>
      <c r="CM458" s="180"/>
      <c r="CN458" s="180"/>
      <c r="CO458" s="180"/>
      <c r="CP458" s="180"/>
      <c r="CQ458" s="180"/>
      <c r="CR458" s="180"/>
      <c r="CS458" s="180"/>
      <c r="CT458" s="180"/>
      <c r="CU458" s="180"/>
      <c r="CV458" s="173"/>
      <c r="CW458" s="173"/>
      <c r="CX458" s="173"/>
      <c r="CY458" s="173"/>
      <c r="CZ458" s="173"/>
      <c r="DA458" s="198"/>
      <c r="DC458" s="197"/>
      <c r="DD458" s="180"/>
      <c r="DE458" s="180"/>
      <c r="DF458" s="180"/>
      <c r="DG458" s="180"/>
      <c r="DH458" s="180"/>
      <c r="DI458" s="180"/>
      <c r="DJ458" s="180"/>
      <c r="DK458" s="180"/>
      <c r="DL458" s="180"/>
      <c r="DM458" s="180"/>
      <c r="DN458" s="180"/>
      <c r="DO458" s="180"/>
      <c r="DP458" s="180"/>
      <c r="DQ458" s="173"/>
      <c r="DR458" s="173"/>
      <c r="DS458" s="173"/>
      <c r="DT458" s="173"/>
      <c r="DU458" s="173"/>
      <c r="DV458" s="198"/>
    </row>
    <row r="459" spans="1:126" x14ac:dyDescent="0.2">
      <c r="A459" s="3">
        <v>40</v>
      </c>
      <c r="B459" s="3" t="s">
        <v>154</v>
      </c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CG459" s="176"/>
      <c r="CH459" s="197"/>
      <c r="CI459" s="180"/>
      <c r="CJ459" s="180"/>
      <c r="CK459" s="180"/>
      <c r="CL459" s="180"/>
      <c r="CM459" s="180"/>
      <c r="CN459" s="180"/>
      <c r="CO459" s="180"/>
      <c r="CP459" s="180"/>
      <c r="CQ459" s="180"/>
      <c r="CR459" s="180"/>
      <c r="CS459" s="180"/>
      <c r="CT459" s="180"/>
      <c r="CU459" s="180"/>
      <c r="CV459" s="173"/>
      <c r="CW459" s="173"/>
      <c r="CX459" s="173"/>
      <c r="CY459" s="173"/>
      <c r="CZ459" s="173"/>
      <c r="DA459" s="198"/>
      <c r="DC459" s="197"/>
      <c r="DD459" s="180"/>
      <c r="DE459" s="180"/>
      <c r="DF459" s="180"/>
      <c r="DG459" s="180"/>
      <c r="DH459" s="180"/>
      <c r="DI459" s="180"/>
      <c r="DJ459" s="180"/>
      <c r="DK459" s="180"/>
      <c r="DL459" s="180"/>
      <c r="DM459" s="180"/>
      <c r="DN459" s="180"/>
      <c r="DO459" s="180"/>
      <c r="DP459" s="180"/>
      <c r="DQ459" s="173"/>
      <c r="DR459" s="173"/>
      <c r="DS459" s="173"/>
      <c r="DT459" s="173"/>
      <c r="DU459" s="173"/>
      <c r="DV459" s="198"/>
    </row>
    <row r="460" spans="1:126" x14ac:dyDescent="0.2">
      <c r="A460" s="3">
        <v>41</v>
      </c>
      <c r="B460" s="3" t="s">
        <v>155</v>
      </c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CG460" s="176"/>
      <c r="CH460" s="199"/>
      <c r="CI460" s="200"/>
      <c r="CJ460" s="200"/>
      <c r="CK460" s="200"/>
      <c r="CL460" s="200"/>
      <c r="CM460" s="200"/>
      <c r="CN460" s="200"/>
      <c r="CO460" s="200"/>
      <c r="CP460" s="200"/>
      <c r="CQ460" s="201"/>
      <c r="CR460" s="202"/>
      <c r="CS460" s="200"/>
      <c r="CT460" s="200"/>
      <c r="CU460" s="200"/>
      <c r="CV460" s="203"/>
      <c r="CW460" s="203"/>
      <c r="CX460" s="203"/>
      <c r="CY460" s="203"/>
      <c r="CZ460" s="203"/>
      <c r="DA460" s="204"/>
      <c r="DC460" s="199"/>
      <c r="DD460" s="200"/>
      <c r="DE460" s="200"/>
      <c r="DF460" s="200"/>
      <c r="DG460" s="200"/>
      <c r="DH460" s="200"/>
      <c r="DI460" s="200"/>
      <c r="DJ460" s="200"/>
      <c r="DK460" s="200"/>
      <c r="DL460" s="200"/>
      <c r="DM460" s="200"/>
      <c r="DN460" s="200"/>
      <c r="DO460" s="200"/>
      <c r="DP460" s="200"/>
      <c r="DQ460" s="203"/>
      <c r="DR460" s="203"/>
      <c r="DS460" s="203"/>
      <c r="DT460" s="203"/>
      <c r="DU460" s="203"/>
      <c r="DV460" s="204"/>
    </row>
    <row r="461" spans="1:126" x14ac:dyDescent="0.2">
      <c r="A461" s="3">
        <v>42</v>
      </c>
      <c r="B461" s="3" t="s">
        <v>156</v>
      </c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CG461" s="176">
        <v>24</v>
      </c>
      <c r="CH461" s="192"/>
      <c r="CI461" s="193"/>
      <c r="CJ461" s="193"/>
      <c r="CK461" s="193"/>
      <c r="CL461" s="193"/>
      <c r="CM461" s="193"/>
      <c r="CN461" s="193"/>
      <c r="CO461" s="193"/>
      <c r="CP461" s="193"/>
      <c r="CQ461" s="193"/>
      <c r="CR461" s="193"/>
      <c r="CS461" s="193"/>
      <c r="CT461" s="193"/>
      <c r="CU461" s="193"/>
      <c r="CV461" s="194"/>
      <c r="CW461" s="194"/>
      <c r="CX461" s="194"/>
      <c r="CY461" s="194"/>
      <c r="CZ461" s="194"/>
      <c r="DA461" s="195"/>
      <c r="DC461" s="192"/>
      <c r="DD461" s="193"/>
      <c r="DE461" s="193"/>
      <c r="DF461" s="193"/>
      <c r="DG461" s="193"/>
      <c r="DH461" s="193"/>
      <c r="DI461" s="193"/>
      <c r="DJ461" s="193"/>
      <c r="DK461" s="193"/>
      <c r="DL461" s="193"/>
      <c r="DM461" s="193"/>
      <c r="DN461" s="193"/>
      <c r="DO461" s="193"/>
      <c r="DP461" s="193"/>
      <c r="DQ461" s="194"/>
      <c r="DR461" s="194"/>
      <c r="DS461" s="194"/>
      <c r="DT461" s="194"/>
      <c r="DU461" s="194"/>
      <c r="DV461" s="195"/>
    </row>
    <row r="462" spans="1:126" x14ac:dyDescent="0.2">
      <c r="A462" s="3">
        <v>43</v>
      </c>
      <c r="B462" s="3" t="s">
        <v>157</v>
      </c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CG462" s="176"/>
      <c r="CH462" s="169"/>
      <c r="CI462" s="177"/>
      <c r="CJ462" s="177"/>
      <c r="CK462" s="177"/>
      <c r="CL462" s="177"/>
      <c r="CM462" s="177"/>
      <c r="CN462" s="177"/>
      <c r="CO462" s="177"/>
      <c r="CP462" s="177"/>
      <c r="CQ462" s="177"/>
      <c r="CR462" s="177"/>
      <c r="CS462" s="177"/>
      <c r="CT462" s="177"/>
      <c r="CU462" s="177"/>
      <c r="CV462" s="172"/>
      <c r="CW462" s="172"/>
      <c r="CX462" s="172"/>
      <c r="CY462" s="172"/>
      <c r="CZ462" s="172"/>
      <c r="DA462" s="196"/>
      <c r="DC462" s="169"/>
      <c r="DD462" s="177"/>
      <c r="DE462" s="177"/>
      <c r="DF462" s="177"/>
      <c r="DG462" s="177"/>
      <c r="DH462" s="177"/>
      <c r="DI462" s="177"/>
      <c r="DJ462" s="177"/>
      <c r="DK462" s="177"/>
      <c r="DL462" s="177"/>
      <c r="DM462" s="177"/>
      <c r="DN462" s="177"/>
      <c r="DO462" s="177"/>
      <c r="DP462" s="177"/>
      <c r="DQ462" s="172"/>
      <c r="DR462" s="172"/>
      <c r="DS462" s="172"/>
      <c r="DT462" s="172"/>
      <c r="DU462" s="172"/>
      <c r="DV462" s="196"/>
    </row>
    <row r="463" spans="1:126" x14ac:dyDescent="0.2">
      <c r="A463" s="3">
        <v>44</v>
      </c>
      <c r="B463" s="3" t="s">
        <v>158</v>
      </c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CG463" s="131"/>
      <c r="CH463" s="169"/>
      <c r="CI463" s="177"/>
      <c r="CJ463" s="177"/>
      <c r="CK463" s="177"/>
      <c r="CL463" s="177"/>
      <c r="CM463" s="177"/>
      <c r="CN463" s="177"/>
      <c r="CO463" s="177"/>
      <c r="CP463" s="177"/>
      <c r="CQ463" s="177"/>
      <c r="CR463" s="177"/>
      <c r="CS463" s="177"/>
      <c r="CT463" s="177"/>
      <c r="CU463" s="177"/>
      <c r="CV463" s="172"/>
      <c r="CW463" s="172"/>
      <c r="CX463" s="172"/>
      <c r="CY463" s="172"/>
      <c r="CZ463" s="172"/>
      <c r="DA463" s="196"/>
      <c r="DC463" s="169"/>
      <c r="DD463" s="177"/>
      <c r="DE463" s="177"/>
      <c r="DF463" s="177"/>
      <c r="DG463" s="177"/>
      <c r="DH463" s="177"/>
      <c r="DI463" s="177"/>
      <c r="DJ463" s="177"/>
      <c r="DK463" s="177"/>
      <c r="DL463" s="177"/>
      <c r="DM463" s="177"/>
      <c r="DN463" s="177"/>
      <c r="DO463" s="177"/>
      <c r="DP463" s="177"/>
      <c r="DQ463" s="172"/>
      <c r="DR463" s="172"/>
      <c r="DS463" s="172"/>
      <c r="DT463" s="172"/>
      <c r="DU463" s="172"/>
      <c r="DV463" s="196"/>
    </row>
    <row r="464" spans="1:126" x14ac:dyDescent="0.2">
      <c r="A464" s="3">
        <v>45</v>
      </c>
      <c r="B464" s="3" t="s">
        <v>159</v>
      </c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CG464" s="176"/>
      <c r="CH464" s="169"/>
      <c r="CI464" s="177"/>
      <c r="CJ464" s="177"/>
      <c r="CK464" s="177"/>
      <c r="CL464" s="177"/>
      <c r="CM464" s="177"/>
      <c r="CN464" s="177"/>
      <c r="CO464" s="177"/>
      <c r="CP464" s="177"/>
      <c r="CQ464" s="177"/>
      <c r="CR464" s="177"/>
      <c r="CS464" s="177"/>
      <c r="CT464" s="177"/>
      <c r="CU464" s="177"/>
      <c r="CV464" s="172"/>
      <c r="CW464" s="172"/>
      <c r="CX464" s="172"/>
      <c r="CY464" s="172"/>
      <c r="CZ464" s="172"/>
      <c r="DA464" s="196"/>
      <c r="DC464" s="169"/>
      <c r="DD464" s="177"/>
      <c r="DE464" s="177"/>
      <c r="DF464" s="177"/>
      <c r="DG464" s="177"/>
      <c r="DH464" s="177"/>
      <c r="DI464" s="177"/>
      <c r="DJ464" s="177"/>
      <c r="DK464" s="177"/>
      <c r="DL464" s="177"/>
      <c r="DM464" s="177"/>
      <c r="DN464" s="177"/>
      <c r="DO464" s="177"/>
      <c r="DP464" s="177"/>
      <c r="DQ464" s="172"/>
      <c r="DR464" s="172"/>
      <c r="DS464" s="172"/>
      <c r="DT464" s="172"/>
      <c r="DU464" s="172"/>
      <c r="DV464" s="196"/>
    </row>
    <row r="465" spans="1:126" x14ac:dyDescent="0.2">
      <c r="A465" s="3">
        <v>46</v>
      </c>
      <c r="B465" s="3" t="s">
        <v>160</v>
      </c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CG465" s="178"/>
      <c r="CH465" s="169"/>
      <c r="CI465" s="177"/>
      <c r="CJ465" s="177"/>
      <c r="CK465" s="177"/>
      <c r="CL465" s="177"/>
      <c r="CM465" s="177"/>
      <c r="CN465" s="177"/>
      <c r="CO465" s="177"/>
      <c r="CP465" s="177"/>
      <c r="CQ465" s="177"/>
      <c r="CR465" s="177"/>
      <c r="CS465" s="177"/>
      <c r="CT465" s="177"/>
      <c r="CU465" s="177"/>
      <c r="CV465" s="172"/>
      <c r="CW465" s="172"/>
      <c r="CX465" s="172"/>
      <c r="CY465" s="172"/>
      <c r="CZ465" s="172"/>
      <c r="DA465" s="196"/>
      <c r="DC465" s="169"/>
      <c r="DD465" s="177"/>
      <c r="DE465" s="177"/>
      <c r="DF465" s="177"/>
      <c r="DG465" s="177"/>
      <c r="DH465" s="177"/>
      <c r="DI465" s="177"/>
      <c r="DJ465" s="177"/>
      <c r="DK465" s="177"/>
      <c r="DL465" s="177"/>
      <c r="DM465" s="177"/>
      <c r="DN465" s="177"/>
      <c r="DO465" s="177"/>
      <c r="DP465" s="177"/>
      <c r="DQ465" s="172"/>
      <c r="DR465" s="172"/>
      <c r="DS465" s="172"/>
      <c r="DT465" s="172"/>
      <c r="DU465" s="172"/>
      <c r="DV465" s="196"/>
    </row>
    <row r="466" spans="1:126" x14ac:dyDescent="0.2">
      <c r="A466" s="3">
        <v>47</v>
      </c>
      <c r="B466" s="3" t="s">
        <v>161</v>
      </c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CG466" s="179"/>
      <c r="CH466" s="169"/>
      <c r="CI466" s="177"/>
      <c r="CJ466" s="177"/>
      <c r="CK466" s="177"/>
      <c r="CL466" s="177"/>
      <c r="CM466" s="177"/>
      <c r="CN466" s="177"/>
      <c r="CO466" s="177"/>
      <c r="CP466" s="177"/>
      <c r="CQ466" s="177"/>
      <c r="CR466" s="177"/>
      <c r="CS466" s="177"/>
      <c r="CT466" s="177"/>
      <c r="CU466" s="177"/>
      <c r="CV466" s="172"/>
      <c r="CW466" s="172"/>
      <c r="CX466" s="172"/>
      <c r="CY466" s="172"/>
      <c r="CZ466" s="172"/>
      <c r="DA466" s="196"/>
      <c r="DC466" s="169"/>
      <c r="DD466" s="177"/>
      <c r="DE466" s="177"/>
      <c r="DF466" s="177"/>
      <c r="DG466" s="177"/>
      <c r="DH466" s="177"/>
      <c r="DI466" s="177"/>
      <c r="DJ466" s="177"/>
      <c r="DK466" s="177"/>
      <c r="DL466" s="177"/>
      <c r="DM466" s="177"/>
      <c r="DN466" s="177"/>
      <c r="DO466" s="177"/>
      <c r="DP466" s="177"/>
      <c r="DQ466" s="172"/>
      <c r="DR466" s="172"/>
      <c r="DS466" s="172"/>
      <c r="DT466" s="172"/>
      <c r="DU466" s="172"/>
      <c r="DV466" s="196"/>
    </row>
    <row r="467" spans="1:126" x14ac:dyDescent="0.2">
      <c r="A467" s="3">
        <v>48</v>
      </c>
      <c r="B467" s="3" t="s">
        <v>162</v>
      </c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CG467" s="179"/>
      <c r="CH467" s="169"/>
      <c r="CI467" s="177"/>
      <c r="CJ467" s="177"/>
      <c r="CK467" s="177"/>
      <c r="CL467" s="177"/>
      <c r="CM467" s="177"/>
      <c r="CN467" s="177"/>
      <c r="CO467" s="177"/>
      <c r="CP467" s="177"/>
      <c r="CQ467" s="177"/>
      <c r="CR467" s="177"/>
      <c r="CS467" s="177"/>
      <c r="CT467" s="177"/>
      <c r="CU467" s="177"/>
      <c r="CV467" s="172"/>
      <c r="CW467" s="172"/>
      <c r="CX467" s="172"/>
      <c r="CY467" s="172"/>
      <c r="CZ467" s="172"/>
      <c r="DA467" s="196"/>
      <c r="DC467" s="169"/>
      <c r="DD467" s="177"/>
      <c r="DE467" s="177"/>
      <c r="DF467" s="177"/>
      <c r="DG467" s="177"/>
      <c r="DH467" s="177"/>
      <c r="DI467" s="177"/>
      <c r="DJ467" s="177"/>
      <c r="DK467" s="177"/>
      <c r="DL467" s="177"/>
      <c r="DM467" s="177"/>
      <c r="DN467" s="177"/>
      <c r="DO467" s="177"/>
      <c r="DP467" s="177"/>
      <c r="DQ467" s="172"/>
      <c r="DR467" s="172"/>
      <c r="DS467" s="172"/>
      <c r="DT467" s="172"/>
      <c r="DU467" s="172"/>
      <c r="DV467" s="196"/>
    </row>
    <row r="468" spans="1:126" x14ac:dyDescent="0.2">
      <c r="A468" s="3">
        <v>49</v>
      </c>
      <c r="B468" s="3" t="s">
        <v>163</v>
      </c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CG468" s="179"/>
      <c r="CH468" s="169"/>
      <c r="CI468" s="177"/>
      <c r="CJ468" s="177"/>
      <c r="CK468" s="177"/>
      <c r="CL468" s="177"/>
      <c r="CM468" s="177"/>
      <c r="CN468" s="177"/>
      <c r="CO468" s="177"/>
      <c r="CP468" s="177"/>
      <c r="CQ468" s="177"/>
      <c r="CR468" s="177"/>
      <c r="CS468" s="177"/>
      <c r="CT468" s="177"/>
      <c r="CU468" s="177"/>
      <c r="CV468" s="172"/>
      <c r="CW468" s="172"/>
      <c r="CX468" s="172"/>
      <c r="CY468" s="172"/>
      <c r="CZ468" s="172"/>
      <c r="DA468" s="196"/>
      <c r="DC468" s="169"/>
      <c r="DD468" s="177"/>
      <c r="DE468" s="177"/>
      <c r="DF468" s="177"/>
      <c r="DG468" s="177"/>
      <c r="DH468" s="177"/>
      <c r="DI468" s="177"/>
      <c r="DJ468" s="177"/>
      <c r="DK468" s="177"/>
      <c r="DL468" s="177"/>
      <c r="DM468" s="177"/>
      <c r="DN468" s="177"/>
      <c r="DO468" s="177"/>
      <c r="DP468" s="177"/>
      <c r="DQ468" s="172"/>
      <c r="DR468" s="172"/>
      <c r="DS468" s="172"/>
      <c r="DT468" s="172"/>
      <c r="DU468" s="172"/>
      <c r="DV468" s="196"/>
    </row>
    <row r="469" spans="1:126" x14ac:dyDescent="0.2">
      <c r="A469" s="3">
        <v>50</v>
      </c>
      <c r="B469" s="3" t="s">
        <v>164</v>
      </c>
      <c r="AL469" s="175"/>
      <c r="AM469" s="175"/>
      <c r="AN469" s="175"/>
      <c r="AO469" s="175"/>
      <c r="AP469" s="175"/>
      <c r="AQ469" s="175"/>
      <c r="AR469" s="175"/>
      <c r="AS469" s="175"/>
      <c r="AT469" s="175"/>
      <c r="AU469" s="175"/>
      <c r="AV469" s="175"/>
      <c r="AW469" s="175"/>
      <c r="AX469" s="175"/>
      <c r="AY469" s="175"/>
      <c r="AZ469" s="175"/>
      <c r="BA469" s="175"/>
      <c r="BB469" s="175"/>
      <c r="BC469" s="175"/>
      <c r="BD469" s="175"/>
      <c r="BE469" s="175"/>
      <c r="CG469" s="179"/>
      <c r="CH469" s="169"/>
      <c r="CI469" s="177"/>
      <c r="CJ469" s="177"/>
      <c r="CK469" s="177"/>
      <c r="CL469" s="177"/>
      <c r="CM469" s="177"/>
      <c r="CN469" s="177"/>
      <c r="CO469" s="177"/>
      <c r="CP469" s="177"/>
      <c r="CQ469" s="177"/>
      <c r="CR469" s="177"/>
      <c r="CS469" s="177"/>
      <c r="CT469" s="177"/>
      <c r="CU469" s="177"/>
      <c r="CV469" s="172"/>
      <c r="CW469" s="172"/>
      <c r="CX469" s="172"/>
      <c r="CY469" s="172"/>
      <c r="CZ469" s="172"/>
      <c r="DA469" s="196"/>
      <c r="DC469" s="169"/>
      <c r="DD469" s="177"/>
      <c r="DE469" s="177"/>
      <c r="DF469" s="177"/>
      <c r="DG469" s="177"/>
      <c r="DH469" s="177"/>
      <c r="DI469" s="177"/>
      <c r="DJ469" s="177"/>
      <c r="DK469" s="177"/>
      <c r="DL469" s="177"/>
      <c r="DM469" s="177"/>
      <c r="DN469" s="177"/>
      <c r="DO469" s="177"/>
      <c r="DP469" s="177"/>
      <c r="DQ469" s="172"/>
      <c r="DR469" s="172"/>
      <c r="DS469" s="172"/>
      <c r="DT469" s="172"/>
      <c r="DU469" s="172"/>
      <c r="DV469" s="196"/>
    </row>
    <row r="470" spans="1:126" x14ac:dyDescent="0.2">
      <c r="A470" s="3">
        <v>51</v>
      </c>
      <c r="B470" s="3" t="s">
        <v>165</v>
      </c>
      <c r="AL470" s="175"/>
      <c r="AM470" s="175"/>
      <c r="AN470" s="175"/>
      <c r="AO470" s="175"/>
      <c r="AP470" s="175"/>
      <c r="AQ470" s="175"/>
      <c r="AR470" s="175"/>
      <c r="AS470" s="175"/>
      <c r="AT470" s="175"/>
      <c r="AU470" s="175"/>
      <c r="AV470" s="175"/>
      <c r="AW470" s="175"/>
      <c r="AX470" s="175"/>
      <c r="AY470" s="175"/>
      <c r="AZ470" s="175"/>
      <c r="BA470" s="175"/>
      <c r="BB470" s="175"/>
      <c r="BC470" s="175"/>
      <c r="BD470" s="175"/>
      <c r="BE470" s="175"/>
      <c r="CG470" s="179"/>
      <c r="CH470" s="169"/>
      <c r="CI470" s="177"/>
      <c r="CJ470" s="177"/>
      <c r="CK470" s="177"/>
      <c r="CL470" s="177"/>
      <c r="CM470" s="177"/>
      <c r="CN470" s="177"/>
      <c r="CO470" s="177"/>
      <c r="CP470" s="177"/>
      <c r="CQ470" s="177"/>
      <c r="CR470" s="177"/>
      <c r="CS470" s="177"/>
      <c r="CT470" s="177"/>
      <c r="CU470" s="177"/>
      <c r="CV470" s="172"/>
      <c r="CW470" s="172"/>
      <c r="CX470" s="172"/>
      <c r="CY470" s="172"/>
      <c r="CZ470" s="172"/>
      <c r="DA470" s="196"/>
      <c r="DC470" s="169"/>
      <c r="DD470" s="177"/>
      <c r="DE470" s="177"/>
      <c r="DF470" s="177"/>
      <c r="DG470" s="177"/>
      <c r="DH470" s="177"/>
      <c r="DI470" s="177"/>
      <c r="DJ470" s="177"/>
      <c r="DK470" s="177"/>
      <c r="DL470" s="177"/>
      <c r="DM470" s="177"/>
      <c r="DN470" s="177"/>
      <c r="DO470" s="177"/>
      <c r="DP470" s="177"/>
      <c r="DQ470" s="172"/>
      <c r="DR470" s="172"/>
      <c r="DS470" s="172"/>
      <c r="DT470" s="172"/>
      <c r="DU470" s="172"/>
      <c r="DV470" s="196"/>
    </row>
    <row r="471" spans="1:126" x14ac:dyDescent="0.2">
      <c r="A471" s="3">
        <v>52</v>
      </c>
      <c r="B471" s="3" t="s">
        <v>166</v>
      </c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CG471" s="179"/>
      <c r="CH471" s="169"/>
      <c r="CI471" s="177"/>
      <c r="CJ471" s="177"/>
      <c r="CK471" s="177"/>
      <c r="CL471" s="177"/>
      <c r="CM471" s="177"/>
      <c r="CN471" s="177"/>
      <c r="CO471" s="177"/>
      <c r="CP471" s="177"/>
      <c r="CQ471" s="177"/>
      <c r="CR471" s="177"/>
      <c r="CS471" s="177"/>
      <c r="CT471" s="177"/>
      <c r="CU471" s="177"/>
      <c r="CV471" s="172"/>
      <c r="CW471" s="172"/>
      <c r="CX471" s="172"/>
      <c r="CY471" s="172"/>
      <c r="CZ471" s="172"/>
      <c r="DA471" s="196"/>
      <c r="DC471" s="169"/>
      <c r="DD471" s="177"/>
      <c r="DE471" s="177"/>
      <c r="DF471" s="177"/>
      <c r="DG471" s="177"/>
      <c r="DH471" s="177"/>
      <c r="DI471" s="177"/>
      <c r="DJ471" s="177"/>
      <c r="DK471" s="177"/>
      <c r="DL471" s="177"/>
      <c r="DM471" s="177"/>
      <c r="DN471" s="177"/>
      <c r="DO471" s="177"/>
      <c r="DP471" s="177"/>
      <c r="DQ471" s="172"/>
      <c r="DR471" s="172"/>
      <c r="DS471" s="172"/>
      <c r="DT471" s="172"/>
      <c r="DU471" s="172"/>
      <c r="DV471" s="196"/>
    </row>
    <row r="472" spans="1:126" x14ac:dyDescent="0.2">
      <c r="A472" s="3">
        <v>53</v>
      </c>
      <c r="B472" s="3" t="s">
        <v>167</v>
      </c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CG472" s="179"/>
      <c r="CH472" s="169"/>
      <c r="CI472" s="177"/>
      <c r="CJ472" s="177"/>
      <c r="CK472" s="177"/>
      <c r="CL472" s="177"/>
      <c r="CM472" s="177"/>
      <c r="CN472" s="177"/>
      <c r="CO472" s="177"/>
      <c r="CP472" s="177"/>
      <c r="CQ472" s="177"/>
      <c r="CR472" s="177"/>
      <c r="CS472" s="177"/>
      <c r="CT472" s="177"/>
      <c r="CU472" s="177"/>
      <c r="CV472" s="172"/>
      <c r="CW472" s="172"/>
      <c r="CX472" s="172"/>
      <c r="CY472" s="172"/>
      <c r="CZ472" s="172"/>
      <c r="DA472" s="196"/>
      <c r="DC472" s="169"/>
      <c r="DD472" s="177"/>
      <c r="DE472" s="177"/>
      <c r="DF472" s="177"/>
      <c r="DG472" s="177"/>
      <c r="DH472" s="177"/>
      <c r="DI472" s="177"/>
      <c r="DJ472" s="177"/>
      <c r="DK472" s="177"/>
      <c r="DL472" s="177"/>
      <c r="DM472" s="177"/>
      <c r="DN472" s="177"/>
      <c r="DO472" s="177"/>
      <c r="DP472" s="177"/>
      <c r="DQ472" s="172"/>
      <c r="DR472" s="172"/>
      <c r="DS472" s="172"/>
      <c r="DT472" s="172"/>
      <c r="DU472" s="172"/>
      <c r="DV472" s="196"/>
    </row>
    <row r="473" spans="1:126" x14ac:dyDescent="0.2">
      <c r="A473" s="3">
        <v>54</v>
      </c>
      <c r="B473" s="3" t="s">
        <v>168</v>
      </c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CG473" s="179"/>
      <c r="CH473" s="197"/>
      <c r="CI473" s="180"/>
      <c r="CJ473" s="180"/>
      <c r="CK473" s="180"/>
      <c r="CL473" s="180"/>
      <c r="CM473" s="180"/>
      <c r="CN473" s="180"/>
      <c r="CO473" s="180"/>
      <c r="CP473" s="180"/>
      <c r="CQ473" s="180"/>
      <c r="CR473" s="180"/>
      <c r="CS473" s="180"/>
      <c r="CT473" s="180"/>
      <c r="CU473" s="180"/>
      <c r="CV473" s="173"/>
      <c r="CW473" s="173"/>
      <c r="CX473" s="173"/>
      <c r="CY473" s="173"/>
      <c r="CZ473" s="173"/>
      <c r="DA473" s="198"/>
      <c r="DC473" s="197"/>
      <c r="DD473" s="180"/>
      <c r="DE473" s="180"/>
      <c r="DF473" s="180"/>
      <c r="DG473" s="180"/>
      <c r="DH473" s="180"/>
      <c r="DI473" s="180"/>
      <c r="DJ473" s="180"/>
      <c r="DK473" s="180"/>
      <c r="DL473" s="180"/>
      <c r="DM473" s="180"/>
      <c r="DN473" s="180"/>
      <c r="DO473" s="180"/>
      <c r="DP473" s="180"/>
      <c r="DQ473" s="173"/>
      <c r="DR473" s="173"/>
      <c r="DS473" s="173"/>
      <c r="DT473" s="173"/>
      <c r="DU473" s="173"/>
      <c r="DV473" s="198"/>
    </row>
    <row r="474" spans="1:126" x14ac:dyDescent="0.2">
      <c r="A474" s="3">
        <v>55</v>
      </c>
      <c r="B474" s="3" t="s">
        <v>169</v>
      </c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CG474" s="179"/>
      <c r="CH474" s="197"/>
      <c r="CI474" s="180"/>
      <c r="CJ474" s="180"/>
      <c r="CK474" s="180"/>
      <c r="CL474" s="180"/>
      <c r="CM474" s="180"/>
      <c r="CN474" s="180"/>
      <c r="CO474" s="180"/>
      <c r="CP474" s="180"/>
      <c r="CQ474" s="180"/>
      <c r="CR474" s="180"/>
      <c r="CS474" s="180"/>
      <c r="CT474" s="180"/>
      <c r="CU474" s="180"/>
      <c r="CV474" s="173"/>
      <c r="CW474" s="173"/>
      <c r="CX474" s="173"/>
      <c r="CY474" s="173"/>
      <c r="CZ474" s="173"/>
      <c r="DA474" s="198"/>
      <c r="DC474" s="197"/>
      <c r="DD474" s="180"/>
      <c r="DE474" s="180"/>
      <c r="DF474" s="180"/>
      <c r="DG474" s="180"/>
      <c r="DH474" s="180"/>
      <c r="DI474" s="180"/>
      <c r="DJ474" s="180"/>
      <c r="DK474" s="180"/>
      <c r="DL474" s="180"/>
      <c r="DM474" s="180"/>
      <c r="DN474" s="180"/>
      <c r="DO474" s="180"/>
      <c r="DP474" s="180"/>
      <c r="DQ474" s="173"/>
      <c r="DR474" s="173"/>
      <c r="DS474" s="173"/>
      <c r="DT474" s="173"/>
      <c r="DU474" s="173"/>
      <c r="DV474" s="198"/>
    </row>
    <row r="475" spans="1:126" x14ac:dyDescent="0.2">
      <c r="A475" s="3">
        <v>56</v>
      </c>
      <c r="B475" s="3" t="s">
        <v>170</v>
      </c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CG475" s="179"/>
      <c r="CH475" s="197"/>
      <c r="CI475" s="180"/>
      <c r="CJ475" s="180"/>
      <c r="CK475" s="180"/>
      <c r="CL475" s="180"/>
      <c r="CM475" s="180"/>
      <c r="CN475" s="180"/>
      <c r="CO475" s="180"/>
      <c r="CP475" s="180"/>
      <c r="CQ475" s="180"/>
      <c r="CR475" s="180"/>
      <c r="CS475" s="180"/>
      <c r="CT475" s="180"/>
      <c r="CU475" s="180"/>
      <c r="CV475" s="173"/>
      <c r="CW475" s="173"/>
      <c r="CX475" s="173"/>
      <c r="CY475" s="173"/>
      <c r="CZ475" s="173"/>
      <c r="DA475" s="198"/>
      <c r="DC475" s="197"/>
      <c r="DD475" s="180"/>
      <c r="DE475" s="180"/>
      <c r="DF475" s="180"/>
      <c r="DG475" s="180"/>
      <c r="DH475" s="180"/>
      <c r="DI475" s="180"/>
      <c r="DJ475" s="180"/>
      <c r="DK475" s="180"/>
      <c r="DL475" s="180"/>
      <c r="DM475" s="180"/>
      <c r="DN475" s="180"/>
      <c r="DO475" s="180"/>
      <c r="DP475" s="180"/>
      <c r="DQ475" s="173"/>
      <c r="DR475" s="173"/>
      <c r="DS475" s="173"/>
      <c r="DT475" s="173"/>
      <c r="DU475" s="173"/>
      <c r="DV475" s="198"/>
    </row>
    <row r="476" spans="1:126" x14ac:dyDescent="0.2">
      <c r="A476" s="3">
        <v>57</v>
      </c>
      <c r="B476" s="3" t="s">
        <v>171</v>
      </c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CG476" s="179"/>
      <c r="CH476" s="197"/>
      <c r="CI476" s="180"/>
      <c r="CJ476" s="180"/>
      <c r="CK476" s="180"/>
      <c r="CL476" s="180"/>
      <c r="CM476" s="180"/>
      <c r="CN476" s="180"/>
      <c r="CO476" s="180"/>
      <c r="CP476" s="180"/>
      <c r="CQ476" s="180"/>
      <c r="CR476" s="180"/>
      <c r="CS476" s="180"/>
      <c r="CT476" s="180"/>
      <c r="CU476" s="180"/>
      <c r="CV476" s="173"/>
      <c r="CW476" s="173"/>
      <c r="CX476" s="173"/>
      <c r="CY476" s="173"/>
      <c r="CZ476" s="173"/>
      <c r="DA476" s="198"/>
      <c r="DC476" s="197"/>
      <c r="DD476" s="180"/>
      <c r="DE476" s="180"/>
      <c r="DF476" s="180"/>
      <c r="DG476" s="180"/>
      <c r="DH476" s="180"/>
      <c r="DI476" s="180"/>
      <c r="DJ476" s="180"/>
      <c r="DK476" s="180"/>
      <c r="DL476" s="180"/>
      <c r="DM476" s="180"/>
      <c r="DN476" s="180"/>
      <c r="DO476" s="180"/>
      <c r="DP476" s="180"/>
      <c r="DQ476" s="173"/>
      <c r="DR476" s="173"/>
      <c r="DS476" s="173"/>
      <c r="DT476" s="173"/>
      <c r="DU476" s="173"/>
      <c r="DV476" s="198"/>
    </row>
    <row r="477" spans="1:126" x14ac:dyDescent="0.2">
      <c r="A477" s="3">
        <v>58</v>
      </c>
      <c r="B477" s="3" t="s">
        <v>172</v>
      </c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CG477" s="179"/>
      <c r="CH477" s="197"/>
      <c r="CI477" s="180"/>
      <c r="CJ477" s="180"/>
      <c r="CK477" s="180"/>
      <c r="CL477" s="180"/>
      <c r="CM477" s="180"/>
      <c r="CN477" s="180"/>
      <c r="CO477" s="180"/>
      <c r="CP477" s="180"/>
      <c r="CQ477" s="180"/>
      <c r="CR477" s="180"/>
      <c r="CS477" s="180"/>
      <c r="CT477" s="180"/>
      <c r="CU477" s="180"/>
      <c r="CV477" s="173"/>
      <c r="CW477" s="173"/>
      <c r="CX477" s="173"/>
      <c r="CY477" s="173"/>
      <c r="CZ477" s="173"/>
      <c r="DA477" s="198"/>
      <c r="DC477" s="197"/>
      <c r="DD477" s="180"/>
      <c r="DE477" s="180"/>
      <c r="DF477" s="180"/>
      <c r="DG477" s="180"/>
      <c r="DH477" s="180"/>
      <c r="DI477" s="180"/>
      <c r="DJ477" s="180"/>
      <c r="DK477" s="180"/>
      <c r="DL477" s="180"/>
      <c r="DM477" s="180"/>
      <c r="DN477" s="180"/>
      <c r="DO477" s="180"/>
      <c r="DP477" s="180"/>
      <c r="DQ477" s="173"/>
      <c r="DR477" s="173"/>
      <c r="DS477" s="173"/>
      <c r="DT477" s="173"/>
      <c r="DU477" s="173"/>
      <c r="DV477" s="198"/>
    </row>
    <row r="478" spans="1:126" x14ac:dyDescent="0.2">
      <c r="A478" s="3">
        <v>59</v>
      </c>
      <c r="B478" s="3" t="s">
        <v>173</v>
      </c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CG478" s="176"/>
      <c r="CH478" s="197"/>
      <c r="CI478" s="180"/>
      <c r="CJ478" s="180"/>
      <c r="CK478" s="180"/>
      <c r="CL478" s="180"/>
      <c r="CM478" s="180"/>
      <c r="CN478" s="180"/>
      <c r="CO478" s="180"/>
      <c r="CP478" s="180"/>
      <c r="CQ478" s="180"/>
      <c r="CR478" s="180"/>
      <c r="CS478" s="180"/>
      <c r="CT478" s="180"/>
      <c r="CU478" s="180"/>
      <c r="CV478" s="173"/>
      <c r="CW478" s="173"/>
      <c r="CX478" s="173"/>
      <c r="CY478" s="173"/>
      <c r="CZ478" s="173"/>
      <c r="DA478" s="198"/>
      <c r="DC478" s="197"/>
      <c r="DD478" s="180"/>
      <c r="DE478" s="180"/>
      <c r="DF478" s="180"/>
      <c r="DG478" s="180"/>
      <c r="DH478" s="180"/>
      <c r="DI478" s="180"/>
      <c r="DJ478" s="180"/>
      <c r="DK478" s="180"/>
      <c r="DL478" s="180"/>
      <c r="DM478" s="180"/>
      <c r="DN478" s="180"/>
      <c r="DO478" s="180"/>
      <c r="DP478" s="180"/>
      <c r="DQ478" s="173"/>
      <c r="DR478" s="173"/>
      <c r="DS478" s="173"/>
      <c r="DT478" s="173"/>
      <c r="DU478" s="173"/>
      <c r="DV478" s="198"/>
    </row>
    <row r="479" spans="1:126" x14ac:dyDescent="0.2">
      <c r="A479" s="3">
        <v>60</v>
      </c>
      <c r="B479" s="3" t="s">
        <v>174</v>
      </c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CG479" s="176"/>
      <c r="CH479" s="197"/>
      <c r="CI479" s="180"/>
      <c r="CJ479" s="180"/>
      <c r="CK479" s="180"/>
      <c r="CL479" s="180"/>
      <c r="CM479" s="180"/>
      <c r="CN479" s="180"/>
      <c r="CO479" s="180"/>
      <c r="CP479" s="180"/>
      <c r="CQ479" s="180"/>
      <c r="CR479" s="180"/>
      <c r="CS479" s="180"/>
      <c r="CT479" s="180"/>
      <c r="CU479" s="180"/>
      <c r="CV479" s="173"/>
      <c r="CW479" s="173"/>
      <c r="CX479" s="173"/>
      <c r="CY479" s="173"/>
      <c r="CZ479" s="173"/>
      <c r="DA479" s="198"/>
      <c r="DC479" s="197"/>
      <c r="DD479" s="180"/>
      <c r="DE479" s="180"/>
      <c r="DF479" s="180"/>
      <c r="DG479" s="180"/>
      <c r="DH479" s="180"/>
      <c r="DI479" s="180"/>
      <c r="DJ479" s="180"/>
      <c r="DK479" s="180"/>
      <c r="DL479" s="180"/>
      <c r="DM479" s="180"/>
      <c r="DN479" s="180"/>
      <c r="DO479" s="180"/>
      <c r="DP479" s="180"/>
      <c r="DQ479" s="173"/>
      <c r="DR479" s="173"/>
      <c r="DS479" s="173"/>
      <c r="DT479" s="173"/>
      <c r="DU479" s="173"/>
      <c r="DV479" s="198"/>
    </row>
    <row r="480" spans="1:126" x14ac:dyDescent="0.2">
      <c r="A480" s="3">
        <v>61</v>
      </c>
      <c r="B480" s="3" t="s">
        <v>175</v>
      </c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CG480" s="176"/>
      <c r="CH480" s="199"/>
      <c r="CI480" s="200"/>
      <c r="CJ480" s="200"/>
      <c r="CK480" s="200"/>
      <c r="CL480" s="200"/>
      <c r="CM480" s="200"/>
      <c r="CN480" s="200"/>
      <c r="CO480" s="200"/>
      <c r="CP480" s="200"/>
      <c r="CQ480" s="201"/>
      <c r="CR480" s="202"/>
      <c r="CS480" s="200"/>
      <c r="CT480" s="200"/>
      <c r="CU480" s="200"/>
      <c r="CV480" s="203"/>
      <c r="CW480" s="203"/>
      <c r="CX480" s="203"/>
      <c r="CY480" s="203"/>
      <c r="CZ480" s="203"/>
      <c r="DA480" s="204"/>
      <c r="DC480" s="199"/>
      <c r="DD480" s="200"/>
      <c r="DE480" s="200"/>
      <c r="DF480" s="200"/>
      <c r="DG480" s="200"/>
      <c r="DH480" s="200"/>
      <c r="DI480" s="200"/>
      <c r="DJ480" s="200"/>
      <c r="DK480" s="200"/>
      <c r="DL480" s="200"/>
      <c r="DM480" s="200"/>
      <c r="DN480" s="200"/>
      <c r="DO480" s="200"/>
      <c r="DP480" s="200"/>
      <c r="DQ480" s="203"/>
      <c r="DR480" s="203"/>
      <c r="DS480" s="203"/>
      <c r="DT480" s="203"/>
      <c r="DU480" s="203"/>
      <c r="DV480" s="204"/>
    </row>
    <row r="481" spans="1:126" x14ac:dyDescent="0.2">
      <c r="A481" s="3">
        <v>62</v>
      </c>
      <c r="B481" s="3" t="s">
        <v>176</v>
      </c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CG481" s="176">
        <v>25</v>
      </c>
      <c r="CH481" s="192"/>
      <c r="CI481" s="193"/>
      <c r="CJ481" s="193"/>
      <c r="CK481" s="193"/>
      <c r="CL481" s="193"/>
      <c r="CM481" s="193"/>
      <c r="CN481" s="193"/>
      <c r="CO481" s="193"/>
      <c r="CP481" s="193"/>
      <c r="CQ481" s="193"/>
      <c r="CR481" s="193"/>
      <c r="CS481" s="193"/>
      <c r="CT481" s="193"/>
      <c r="CU481" s="193"/>
      <c r="CV481" s="194"/>
      <c r="CW481" s="194"/>
      <c r="CX481" s="194"/>
      <c r="CY481" s="194"/>
      <c r="CZ481" s="194"/>
      <c r="DA481" s="195"/>
      <c r="DC481" s="192"/>
      <c r="DD481" s="193"/>
      <c r="DE481" s="193"/>
      <c r="DF481" s="193"/>
      <c r="DG481" s="193"/>
      <c r="DH481" s="193"/>
      <c r="DI481" s="193"/>
      <c r="DJ481" s="193"/>
      <c r="DK481" s="193"/>
      <c r="DL481" s="193"/>
      <c r="DM481" s="193"/>
      <c r="DN481" s="193"/>
      <c r="DO481" s="193"/>
      <c r="DP481" s="193"/>
      <c r="DQ481" s="194"/>
      <c r="DR481" s="194"/>
      <c r="DS481" s="194"/>
      <c r="DT481" s="194"/>
      <c r="DU481" s="194"/>
      <c r="DV481" s="195"/>
    </row>
    <row r="482" spans="1:126" x14ac:dyDescent="0.2">
      <c r="A482" s="3">
        <v>63</v>
      </c>
      <c r="B482" s="3" t="s">
        <v>177</v>
      </c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CG482" s="176"/>
      <c r="CH482" s="169"/>
      <c r="CI482" s="177"/>
      <c r="CJ482" s="177"/>
      <c r="CK482" s="177"/>
      <c r="CL482" s="177"/>
      <c r="CM482" s="177"/>
      <c r="CN482" s="177"/>
      <c r="CO482" s="177"/>
      <c r="CP482" s="177"/>
      <c r="CQ482" s="177"/>
      <c r="CR482" s="177"/>
      <c r="CS482" s="177"/>
      <c r="CT482" s="177"/>
      <c r="CU482" s="177"/>
      <c r="CV482" s="172"/>
      <c r="CW482" s="172"/>
      <c r="CX482" s="172"/>
      <c r="CY482" s="172"/>
      <c r="CZ482" s="172"/>
      <c r="DA482" s="196"/>
      <c r="DC482" s="169"/>
      <c r="DD482" s="177"/>
      <c r="DE482" s="177"/>
      <c r="DF482" s="177"/>
      <c r="DG482" s="177"/>
      <c r="DH482" s="177"/>
      <c r="DI482" s="177"/>
      <c r="DJ482" s="177"/>
      <c r="DK482" s="177"/>
      <c r="DL482" s="177"/>
      <c r="DM482" s="177"/>
      <c r="DN482" s="177"/>
      <c r="DO482" s="177"/>
      <c r="DP482" s="177"/>
      <c r="DQ482" s="172"/>
      <c r="DR482" s="172"/>
      <c r="DS482" s="172"/>
      <c r="DT482" s="172"/>
      <c r="DU482" s="172"/>
      <c r="DV482" s="196"/>
    </row>
    <row r="483" spans="1:126" x14ac:dyDescent="0.2">
      <c r="A483" s="3">
        <v>64</v>
      </c>
      <c r="B483" s="3" t="s">
        <v>178</v>
      </c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CG483" s="131"/>
      <c r="CH483" s="169"/>
      <c r="CI483" s="177"/>
      <c r="CJ483" s="177"/>
      <c r="CK483" s="177"/>
      <c r="CL483" s="177"/>
      <c r="CM483" s="177"/>
      <c r="CN483" s="177"/>
      <c r="CO483" s="177"/>
      <c r="CP483" s="177"/>
      <c r="CQ483" s="177"/>
      <c r="CR483" s="177"/>
      <c r="CS483" s="177"/>
      <c r="CT483" s="177"/>
      <c r="CU483" s="177"/>
      <c r="CV483" s="172"/>
      <c r="CW483" s="172"/>
      <c r="CX483" s="172"/>
      <c r="CY483" s="172"/>
      <c r="CZ483" s="172"/>
      <c r="DA483" s="196"/>
      <c r="DC483" s="169"/>
      <c r="DD483" s="177"/>
      <c r="DE483" s="177"/>
      <c r="DF483" s="177"/>
      <c r="DG483" s="177"/>
      <c r="DH483" s="177"/>
      <c r="DI483" s="177"/>
      <c r="DJ483" s="177"/>
      <c r="DK483" s="177"/>
      <c r="DL483" s="177"/>
      <c r="DM483" s="177"/>
      <c r="DN483" s="177"/>
      <c r="DO483" s="177"/>
      <c r="DP483" s="177"/>
      <c r="DQ483" s="172"/>
      <c r="DR483" s="172"/>
      <c r="DS483" s="172"/>
      <c r="DT483" s="172"/>
      <c r="DU483" s="172"/>
      <c r="DV483" s="196"/>
    </row>
    <row r="484" spans="1:126" x14ac:dyDescent="0.2">
      <c r="A484" s="3">
        <v>65</v>
      </c>
      <c r="B484" s="3" t="s">
        <v>179</v>
      </c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CG484" s="176"/>
      <c r="CH484" s="169"/>
      <c r="CI484" s="177"/>
      <c r="CJ484" s="177"/>
      <c r="CK484" s="177"/>
      <c r="CL484" s="177"/>
      <c r="CM484" s="177"/>
      <c r="CN484" s="177"/>
      <c r="CO484" s="177"/>
      <c r="CP484" s="177"/>
      <c r="CQ484" s="177"/>
      <c r="CR484" s="177"/>
      <c r="CS484" s="177"/>
      <c r="CT484" s="177"/>
      <c r="CU484" s="177"/>
      <c r="CV484" s="172"/>
      <c r="CW484" s="172"/>
      <c r="CX484" s="172"/>
      <c r="CY484" s="172"/>
      <c r="CZ484" s="172"/>
      <c r="DA484" s="196"/>
      <c r="DC484" s="169"/>
      <c r="DD484" s="177"/>
      <c r="DE484" s="177"/>
      <c r="DF484" s="177"/>
      <c r="DG484" s="177"/>
      <c r="DH484" s="177"/>
      <c r="DI484" s="177"/>
      <c r="DJ484" s="177"/>
      <c r="DK484" s="177"/>
      <c r="DL484" s="177"/>
      <c r="DM484" s="177"/>
      <c r="DN484" s="177"/>
      <c r="DO484" s="177"/>
      <c r="DP484" s="177"/>
      <c r="DQ484" s="172"/>
      <c r="DR484" s="172"/>
      <c r="DS484" s="172"/>
      <c r="DT484" s="172"/>
      <c r="DU484" s="172"/>
      <c r="DV484" s="196"/>
    </row>
    <row r="485" spans="1:126" x14ac:dyDescent="0.2">
      <c r="A485" s="3">
        <v>66</v>
      </c>
      <c r="B485" s="3" t="s">
        <v>180</v>
      </c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CG485" s="178"/>
      <c r="CH485" s="169"/>
      <c r="CI485" s="177"/>
      <c r="CJ485" s="177"/>
      <c r="CK485" s="177"/>
      <c r="CL485" s="177"/>
      <c r="CM485" s="177"/>
      <c r="CN485" s="177"/>
      <c r="CO485" s="177"/>
      <c r="CP485" s="177"/>
      <c r="CQ485" s="177"/>
      <c r="CR485" s="177"/>
      <c r="CS485" s="177"/>
      <c r="CT485" s="177"/>
      <c r="CU485" s="177"/>
      <c r="CV485" s="172"/>
      <c r="CW485" s="172"/>
      <c r="CX485" s="172"/>
      <c r="CY485" s="172"/>
      <c r="CZ485" s="172"/>
      <c r="DA485" s="196"/>
      <c r="DC485" s="169"/>
      <c r="DD485" s="177"/>
      <c r="DE485" s="177"/>
      <c r="DF485" s="177"/>
      <c r="DG485" s="177"/>
      <c r="DH485" s="177"/>
      <c r="DI485" s="177"/>
      <c r="DJ485" s="177"/>
      <c r="DK485" s="177"/>
      <c r="DL485" s="177"/>
      <c r="DM485" s="177"/>
      <c r="DN485" s="177"/>
      <c r="DO485" s="177"/>
      <c r="DP485" s="177"/>
      <c r="DQ485" s="172"/>
      <c r="DR485" s="172"/>
      <c r="DS485" s="172"/>
      <c r="DT485" s="172"/>
      <c r="DU485" s="172"/>
      <c r="DV485" s="196"/>
    </row>
    <row r="486" spans="1:126" x14ac:dyDescent="0.2">
      <c r="A486" s="3">
        <v>67</v>
      </c>
      <c r="B486" s="3" t="s">
        <v>181</v>
      </c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CG486" s="179"/>
      <c r="CH486" s="169"/>
      <c r="CI486" s="177"/>
      <c r="CJ486" s="177"/>
      <c r="CK486" s="177"/>
      <c r="CL486" s="177"/>
      <c r="CM486" s="177"/>
      <c r="CN486" s="177"/>
      <c r="CO486" s="177"/>
      <c r="CP486" s="177"/>
      <c r="CQ486" s="177"/>
      <c r="CR486" s="177"/>
      <c r="CS486" s="177"/>
      <c r="CT486" s="177"/>
      <c r="CU486" s="177"/>
      <c r="CV486" s="172"/>
      <c r="CW486" s="172"/>
      <c r="CX486" s="172"/>
      <c r="CY486" s="172"/>
      <c r="CZ486" s="172"/>
      <c r="DA486" s="196"/>
      <c r="DC486" s="169"/>
      <c r="DD486" s="177"/>
      <c r="DE486" s="177"/>
      <c r="DF486" s="177"/>
      <c r="DG486" s="177"/>
      <c r="DH486" s="177"/>
      <c r="DI486" s="177"/>
      <c r="DJ486" s="177"/>
      <c r="DK486" s="177"/>
      <c r="DL486" s="177"/>
      <c r="DM486" s="177"/>
      <c r="DN486" s="177"/>
      <c r="DO486" s="177"/>
      <c r="DP486" s="177"/>
      <c r="DQ486" s="172"/>
      <c r="DR486" s="172"/>
      <c r="DS486" s="172"/>
      <c r="DT486" s="172"/>
      <c r="DU486" s="172"/>
      <c r="DV486" s="196"/>
    </row>
    <row r="487" spans="1:126" x14ac:dyDescent="0.2">
      <c r="A487" s="3">
        <v>68</v>
      </c>
      <c r="B487" s="3" t="s">
        <v>182</v>
      </c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CG487" s="179"/>
      <c r="CH487" s="169"/>
      <c r="CI487" s="177"/>
      <c r="CJ487" s="177"/>
      <c r="CK487" s="177"/>
      <c r="CL487" s="177"/>
      <c r="CM487" s="177"/>
      <c r="CN487" s="177"/>
      <c r="CO487" s="177"/>
      <c r="CP487" s="177"/>
      <c r="CQ487" s="177"/>
      <c r="CR487" s="177"/>
      <c r="CS487" s="177"/>
      <c r="CT487" s="177"/>
      <c r="CU487" s="177"/>
      <c r="CV487" s="172"/>
      <c r="CW487" s="172"/>
      <c r="CX487" s="172"/>
      <c r="CY487" s="172"/>
      <c r="CZ487" s="172"/>
      <c r="DA487" s="196"/>
      <c r="DC487" s="169"/>
      <c r="DD487" s="177"/>
      <c r="DE487" s="177"/>
      <c r="DF487" s="177"/>
      <c r="DG487" s="177"/>
      <c r="DH487" s="177"/>
      <c r="DI487" s="177"/>
      <c r="DJ487" s="177"/>
      <c r="DK487" s="177"/>
      <c r="DL487" s="177"/>
      <c r="DM487" s="177"/>
      <c r="DN487" s="177"/>
      <c r="DO487" s="177"/>
      <c r="DP487" s="177"/>
      <c r="DQ487" s="172"/>
      <c r="DR487" s="172"/>
      <c r="DS487" s="172"/>
      <c r="DT487" s="172"/>
      <c r="DU487" s="172"/>
      <c r="DV487" s="196"/>
    </row>
    <row r="488" spans="1:126" x14ac:dyDescent="0.2">
      <c r="A488" s="3">
        <v>69</v>
      </c>
      <c r="B488" s="3" t="s">
        <v>183</v>
      </c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CG488" s="179"/>
      <c r="CH488" s="169"/>
      <c r="CI488" s="177"/>
      <c r="CJ488" s="177"/>
      <c r="CK488" s="177"/>
      <c r="CL488" s="177"/>
      <c r="CM488" s="177"/>
      <c r="CN488" s="177"/>
      <c r="CO488" s="177"/>
      <c r="CP488" s="177"/>
      <c r="CQ488" s="177"/>
      <c r="CR488" s="177"/>
      <c r="CS488" s="177"/>
      <c r="CT488" s="177"/>
      <c r="CU488" s="177"/>
      <c r="CV488" s="172"/>
      <c r="CW488" s="172"/>
      <c r="CX488" s="172"/>
      <c r="CY488" s="172"/>
      <c r="CZ488" s="172"/>
      <c r="DA488" s="196"/>
      <c r="DC488" s="169"/>
      <c r="DD488" s="177"/>
      <c r="DE488" s="177"/>
      <c r="DF488" s="177"/>
      <c r="DG488" s="177"/>
      <c r="DH488" s="177"/>
      <c r="DI488" s="177"/>
      <c r="DJ488" s="177"/>
      <c r="DK488" s="177"/>
      <c r="DL488" s="177"/>
      <c r="DM488" s="177"/>
      <c r="DN488" s="177"/>
      <c r="DO488" s="177"/>
      <c r="DP488" s="177"/>
      <c r="DQ488" s="172"/>
      <c r="DR488" s="172"/>
      <c r="DS488" s="172"/>
      <c r="DT488" s="172"/>
      <c r="DU488" s="172"/>
      <c r="DV488" s="196"/>
    </row>
    <row r="489" spans="1:126" x14ac:dyDescent="0.2">
      <c r="A489" s="3">
        <v>70</v>
      </c>
      <c r="B489" s="3" t="s">
        <v>184</v>
      </c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CG489" s="179"/>
      <c r="CH489" s="169"/>
      <c r="CI489" s="177"/>
      <c r="CJ489" s="177"/>
      <c r="CK489" s="177"/>
      <c r="CL489" s="177"/>
      <c r="CM489" s="177"/>
      <c r="CN489" s="177"/>
      <c r="CO489" s="177"/>
      <c r="CP489" s="177"/>
      <c r="CQ489" s="177"/>
      <c r="CR489" s="177"/>
      <c r="CS489" s="177"/>
      <c r="CT489" s="177"/>
      <c r="CU489" s="177"/>
      <c r="CV489" s="172"/>
      <c r="CW489" s="172"/>
      <c r="CX489" s="172"/>
      <c r="CY489" s="172"/>
      <c r="CZ489" s="172"/>
      <c r="DA489" s="196"/>
      <c r="DC489" s="169"/>
      <c r="DD489" s="177"/>
      <c r="DE489" s="177"/>
      <c r="DF489" s="177"/>
      <c r="DG489" s="177"/>
      <c r="DH489" s="177"/>
      <c r="DI489" s="177"/>
      <c r="DJ489" s="177"/>
      <c r="DK489" s="177"/>
      <c r="DL489" s="177"/>
      <c r="DM489" s="177"/>
      <c r="DN489" s="177"/>
      <c r="DO489" s="177"/>
      <c r="DP489" s="177"/>
      <c r="DQ489" s="172"/>
      <c r="DR489" s="172"/>
      <c r="DS489" s="172"/>
      <c r="DT489" s="172"/>
      <c r="DU489" s="172"/>
      <c r="DV489" s="196"/>
    </row>
    <row r="490" spans="1:126" x14ac:dyDescent="0.2">
      <c r="A490" s="3">
        <v>71</v>
      </c>
      <c r="B490" s="3" t="s">
        <v>185</v>
      </c>
      <c r="AL490" s="175"/>
      <c r="AM490" s="175"/>
      <c r="AN490" s="175"/>
      <c r="AO490" s="175"/>
      <c r="AP490" s="175"/>
      <c r="AQ490" s="175"/>
      <c r="AR490" s="175"/>
      <c r="AS490" s="175"/>
      <c r="AT490" s="175"/>
      <c r="AU490" s="175"/>
      <c r="AV490" s="175"/>
      <c r="AW490" s="175"/>
      <c r="AX490" s="175"/>
      <c r="AY490" s="175"/>
      <c r="AZ490" s="175"/>
      <c r="BA490" s="175"/>
      <c r="BB490" s="175"/>
      <c r="BC490" s="175"/>
      <c r="BD490" s="175"/>
      <c r="BE490" s="175"/>
      <c r="CG490" s="179"/>
      <c r="CH490" s="169"/>
      <c r="CI490" s="177"/>
      <c r="CJ490" s="177"/>
      <c r="CK490" s="177"/>
      <c r="CL490" s="177"/>
      <c r="CM490" s="177"/>
      <c r="CN490" s="177"/>
      <c r="CO490" s="177"/>
      <c r="CP490" s="177"/>
      <c r="CQ490" s="177"/>
      <c r="CR490" s="177"/>
      <c r="CS490" s="177"/>
      <c r="CT490" s="177"/>
      <c r="CU490" s="177"/>
      <c r="CV490" s="172"/>
      <c r="CW490" s="172"/>
      <c r="CX490" s="172"/>
      <c r="CY490" s="172"/>
      <c r="CZ490" s="172"/>
      <c r="DA490" s="196"/>
      <c r="DC490" s="169"/>
      <c r="DD490" s="177"/>
      <c r="DE490" s="177"/>
      <c r="DF490" s="177"/>
      <c r="DG490" s="177"/>
      <c r="DH490" s="177"/>
      <c r="DI490" s="177"/>
      <c r="DJ490" s="177"/>
      <c r="DK490" s="177"/>
      <c r="DL490" s="177"/>
      <c r="DM490" s="177"/>
      <c r="DN490" s="177"/>
      <c r="DO490" s="177"/>
      <c r="DP490" s="177"/>
      <c r="DQ490" s="172"/>
      <c r="DR490" s="172"/>
      <c r="DS490" s="172"/>
      <c r="DT490" s="172"/>
      <c r="DU490" s="172"/>
      <c r="DV490" s="196"/>
    </row>
    <row r="491" spans="1:126" x14ac:dyDescent="0.2">
      <c r="A491" s="3">
        <v>72</v>
      </c>
      <c r="B491" s="3" t="s">
        <v>186</v>
      </c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CG491" s="179"/>
      <c r="CH491" s="169"/>
      <c r="CI491" s="177"/>
      <c r="CJ491" s="177"/>
      <c r="CK491" s="177"/>
      <c r="CL491" s="177"/>
      <c r="CM491" s="177"/>
      <c r="CN491" s="177"/>
      <c r="CO491" s="177"/>
      <c r="CP491" s="177"/>
      <c r="CQ491" s="177"/>
      <c r="CR491" s="177"/>
      <c r="CS491" s="177"/>
      <c r="CT491" s="177"/>
      <c r="CU491" s="177"/>
      <c r="CV491" s="172"/>
      <c r="CW491" s="172"/>
      <c r="CX491" s="172"/>
      <c r="CY491" s="172"/>
      <c r="CZ491" s="172"/>
      <c r="DA491" s="196"/>
      <c r="DC491" s="169"/>
      <c r="DD491" s="177"/>
      <c r="DE491" s="177"/>
      <c r="DF491" s="177"/>
      <c r="DG491" s="177"/>
      <c r="DH491" s="177"/>
      <c r="DI491" s="177"/>
      <c r="DJ491" s="177"/>
      <c r="DK491" s="177"/>
      <c r="DL491" s="177"/>
      <c r="DM491" s="177"/>
      <c r="DN491" s="177"/>
      <c r="DO491" s="177"/>
      <c r="DP491" s="177"/>
      <c r="DQ491" s="172"/>
      <c r="DR491" s="172"/>
      <c r="DS491" s="172"/>
      <c r="DT491" s="172"/>
      <c r="DU491" s="172"/>
      <c r="DV491" s="196"/>
    </row>
    <row r="492" spans="1:126" x14ac:dyDescent="0.2">
      <c r="A492" s="3">
        <v>73</v>
      </c>
      <c r="B492" s="3" t="s">
        <v>187</v>
      </c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CG492" s="179"/>
      <c r="CH492" s="169"/>
      <c r="CI492" s="177"/>
      <c r="CJ492" s="177"/>
      <c r="CK492" s="177"/>
      <c r="CL492" s="177"/>
      <c r="CM492" s="177"/>
      <c r="CN492" s="177"/>
      <c r="CO492" s="177"/>
      <c r="CP492" s="177"/>
      <c r="CQ492" s="177"/>
      <c r="CR492" s="177"/>
      <c r="CS492" s="177"/>
      <c r="CT492" s="177"/>
      <c r="CU492" s="177"/>
      <c r="CV492" s="172"/>
      <c r="CW492" s="172"/>
      <c r="CX492" s="172"/>
      <c r="CY492" s="172"/>
      <c r="CZ492" s="172"/>
      <c r="DA492" s="196"/>
      <c r="DC492" s="169"/>
      <c r="DD492" s="177"/>
      <c r="DE492" s="177"/>
      <c r="DF492" s="177"/>
      <c r="DG492" s="177"/>
      <c r="DH492" s="177"/>
      <c r="DI492" s="177"/>
      <c r="DJ492" s="177"/>
      <c r="DK492" s="177"/>
      <c r="DL492" s="177"/>
      <c r="DM492" s="177"/>
      <c r="DN492" s="177"/>
      <c r="DO492" s="177"/>
      <c r="DP492" s="177"/>
      <c r="DQ492" s="172"/>
      <c r="DR492" s="172"/>
      <c r="DS492" s="172"/>
      <c r="DT492" s="172"/>
      <c r="DU492" s="172"/>
      <c r="DV492" s="196"/>
    </row>
    <row r="493" spans="1:126" x14ac:dyDescent="0.2">
      <c r="A493" s="3">
        <v>74</v>
      </c>
      <c r="B493" s="3" t="s">
        <v>188</v>
      </c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CG493" s="179"/>
      <c r="CH493" s="197"/>
      <c r="CI493" s="180"/>
      <c r="CJ493" s="180"/>
      <c r="CK493" s="180"/>
      <c r="CL493" s="180"/>
      <c r="CM493" s="180"/>
      <c r="CN493" s="180"/>
      <c r="CO493" s="180"/>
      <c r="CP493" s="180"/>
      <c r="CQ493" s="180"/>
      <c r="CR493" s="180"/>
      <c r="CS493" s="180"/>
      <c r="CT493" s="180"/>
      <c r="CU493" s="180"/>
      <c r="CV493" s="173"/>
      <c r="CW493" s="173"/>
      <c r="CX493" s="173"/>
      <c r="CY493" s="173"/>
      <c r="CZ493" s="173"/>
      <c r="DA493" s="198"/>
      <c r="DC493" s="197"/>
      <c r="DD493" s="180"/>
      <c r="DE493" s="180"/>
      <c r="DF493" s="180"/>
      <c r="DG493" s="180"/>
      <c r="DH493" s="180"/>
      <c r="DI493" s="180"/>
      <c r="DJ493" s="180"/>
      <c r="DK493" s="180"/>
      <c r="DL493" s="180"/>
      <c r="DM493" s="180"/>
      <c r="DN493" s="180"/>
      <c r="DO493" s="180"/>
      <c r="DP493" s="180"/>
      <c r="DQ493" s="173"/>
      <c r="DR493" s="173"/>
      <c r="DS493" s="173"/>
      <c r="DT493" s="173"/>
      <c r="DU493" s="173"/>
      <c r="DV493" s="198"/>
    </row>
    <row r="494" spans="1:126" x14ac:dyDescent="0.2">
      <c r="A494" s="3">
        <v>75</v>
      </c>
      <c r="B494" s="3" t="s">
        <v>189</v>
      </c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CG494" s="179"/>
      <c r="CH494" s="197"/>
      <c r="CI494" s="180"/>
      <c r="CJ494" s="180"/>
      <c r="CK494" s="180"/>
      <c r="CL494" s="180"/>
      <c r="CM494" s="180"/>
      <c r="CN494" s="180"/>
      <c r="CO494" s="180"/>
      <c r="CP494" s="180"/>
      <c r="CQ494" s="180"/>
      <c r="CR494" s="180"/>
      <c r="CS494" s="180"/>
      <c r="CT494" s="180"/>
      <c r="CU494" s="180"/>
      <c r="CV494" s="173"/>
      <c r="CW494" s="173"/>
      <c r="CX494" s="173"/>
      <c r="CY494" s="173"/>
      <c r="CZ494" s="173"/>
      <c r="DA494" s="198"/>
      <c r="DC494" s="197"/>
      <c r="DD494" s="180"/>
      <c r="DE494" s="180"/>
      <c r="DF494" s="180"/>
      <c r="DG494" s="180"/>
      <c r="DH494" s="180"/>
      <c r="DI494" s="180"/>
      <c r="DJ494" s="180"/>
      <c r="DK494" s="180"/>
      <c r="DL494" s="180"/>
      <c r="DM494" s="180"/>
      <c r="DN494" s="180"/>
      <c r="DO494" s="180"/>
      <c r="DP494" s="180"/>
      <c r="DQ494" s="173"/>
      <c r="DR494" s="173"/>
      <c r="DS494" s="173"/>
      <c r="DT494" s="173"/>
      <c r="DU494" s="173"/>
      <c r="DV494" s="198"/>
    </row>
    <row r="495" spans="1:126" x14ac:dyDescent="0.2">
      <c r="A495" s="3">
        <v>76</v>
      </c>
      <c r="B495" s="3" t="s">
        <v>190</v>
      </c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CG495" s="179"/>
      <c r="CH495" s="197"/>
      <c r="CI495" s="180"/>
      <c r="CJ495" s="180"/>
      <c r="CK495" s="180"/>
      <c r="CL495" s="180"/>
      <c r="CM495" s="180"/>
      <c r="CN495" s="180"/>
      <c r="CO495" s="180"/>
      <c r="CP495" s="180"/>
      <c r="CQ495" s="180"/>
      <c r="CR495" s="180"/>
      <c r="CS495" s="180"/>
      <c r="CT495" s="180"/>
      <c r="CU495" s="180"/>
      <c r="CV495" s="173"/>
      <c r="CW495" s="173"/>
      <c r="CX495" s="173"/>
      <c r="CY495" s="173"/>
      <c r="CZ495" s="173"/>
      <c r="DA495" s="198"/>
      <c r="DC495" s="197"/>
      <c r="DD495" s="180"/>
      <c r="DE495" s="180"/>
      <c r="DF495" s="180"/>
      <c r="DG495" s="180"/>
      <c r="DH495" s="180"/>
      <c r="DI495" s="180"/>
      <c r="DJ495" s="180"/>
      <c r="DK495" s="180"/>
      <c r="DL495" s="180"/>
      <c r="DM495" s="180"/>
      <c r="DN495" s="180"/>
      <c r="DO495" s="180"/>
      <c r="DP495" s="180"/>
      <c r="DQ495" s="173"/>
      <c r="DR495" s="173"/>
      <c r="DS495" s="173"/>
      <c r="DT495" s="173"/>
      <c r="DU495" s="173"/>
      <c r="DV495" s="198"/>
    </row>
    <row r="496" spans="1:126" x14ac:dyDescent="0.2">
      <c r="A496" s="3">
        <v>77</v>
      </c>
      <c r="B496" s="3" t="s">
        <v>191</v>
      </c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CG496" s="179"/>
      <c r="CH496" s="197"/>
      <c r="CI496" s="180"/>
      <c r="CJ496" s="180"/>
      <c r="CK496" s="180"/>
      <c r="CL496" s="180"/>
      <c r="CM496" s="180"/>
      <c r="CN496" s="180"/>
      <c r="CO496" s="180"/>
      <c r="CP496" s="180"/>
      <c r="CQ496" s="180"/>
      <c r="CR496" s="180"/>
      <c r="CS496" s="180"/>
      <c r="CT496" s="180"/>
      <c r="CU496" s="180"/>
      <c r="CV496" s="173"/>
      <c r="CW496" s="173"/>
      <c r="CX496" s="173"/>
      <c r="CY496" s="173"/>
      <c r="CZ496" s="173"/>
      <c r="DA496" s="198"/>
      <c r="DC496" s="197"/>
      <c r="DD496" s="180"/>
      <c r="DE496" s="180"/>
      <c r="DF496" s="180"/>
      <c r="DG496" s="180"/>
      <c r="DH496" s="180"/>
      <c r="DI496" s="180"/>
      <c r="DJ496" s="180"/>
      <c r="DK496" s="180"/>
      <c r="DL496" s="180"/>
      <c r="DM496" s="180"/>
      <c r="DN496" s="180"/>
      <c r="DO496" s="180"/>
      <c r="DP496" s="180"/>
      <c r="DQ496" s="173"/>
      <c r="DR496" s="173"/>
      <c r="DS496" s="173"/>
      <c r="DT496" s="173"/>
      <c r="DU496" s="173"/>
      <c r="DV496" s="198"/>
    </row>
    <row r="497" spans="1:126" x14ac:dyDescent="0.2">
      <c r="A497" s="3">
        <v>78</v>
      </c>
      <c r="B497" s="3" t="s">
        <v>192</v>
      </c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CG497" s="179"/>
      <c r="CH497" s="197"/>
      <c r="CI497" s="180"/>
      <c r="CJ497" s="180"/>
      <c r="CK497" s="180"/>
      <c r="CL497" s="180"/>
      <c r="CM497" s="180"/>
      <c r="CN497" s="180"/>
      <c r="CO497" s="180"/>
      <c r="CP497" s="180"/>
      <c r="CQ497" s="180"/>
      <c r="CR497" s="180"/>
      <c r="CS497" s="180"/>
      <c r="CT497" s="180"/>
      <c r="CU497" s="180"/>
      <c r="CV497" s="173"/>
      <c r="CW497" s="173"/>
      <c r="CX497" s="173"/>
      <c r="CY497" s="173"/>
      <c r="CZ497" s="173"/>
      <c r="DA497" s="198"/>
      <c r="DC497" s="197"/>
      <c r="DD497" s="180"/>
      <c r="DE497" s="180"/>
      <c r="DF497" s="180"/>
      <c r="DG497" s="180"/>
      <c r="DH497" s="180"/>
      <c r="DI497" s="180"/>
      <c r="DJ497" s="180"/>
      <c r="DK497" s="180"/>
      <c r="DL497" s="180"/>
      <c r="DM497" s="180"/>
      <c r="DN497" s="180"/>
      <c r="DO497" s="180"/>
      <c r="DP497" s="180"/>
      <c r="DQ497" s="173"/>
      <c r="DR497" s="173"/>
      <c r="DS497" s="173"/>
      <c r="DT497" s="173"/>
      <c r="DU497" s="173"/>
      <c r="DV497" s="198"/>
    </row>
    <row r="498" spans="1:126" x14ac:dyDescent="0.2">
      <c r="A498" s="3">
        <v>79</v>
      </c>
      <c r="B498" s="3" t="s">
        <v>193</v>
      </c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CG498" s="176"/>
      <c r="CH498" s="197"/>
      <c r="CI498" s="180"/>
      <c r="CJ498" s="180"/>
      <c r="CK498" s="180"/>
      <c r="CL498" s="180"/>
      <c r="CM498" s="180"/>
      <c r="CN498" s="180"/>
      <c r="CO498" s="180"/>
      <c r="CP498" s="180"/>
      <c r="CQ498" s="180"/>
      <c r="CR498" s="180"/>
      <c r="CS498" s="180"/>
      <c r="CT498" s="180"/>
      <c r="CU498" s="180"/>
      <c r="CV498" s="173"/>
      <c r="CW498" s="173"/>
      <c r="CX498" s="173"/>
      <c r="CY498" s="173"/>
      <c r="CZ498" s="173"/>
      <c r="DA498" s="198"/>
      <c r="DC498" s="197"/>
      <c r="DD498" s="180"/>
      <c r="DE498" s="180"/>
      <c r="DF498" s="180"/>
      <c r="DG498" s="180"/>
      <c r="DH498" s="180"/>
      <c r="DI498" s="180"/>
      <c r="DJ498" s="180"/>
      <c r="DK498" s="180"/>
      <c r="DL498" s="180"/>
      <c r="DM498" s="180"/>
      <c r="DN498" s="180"/>
      <c r="DO498" s="180"/>
      <c r="DP498" s="180"/>
      <c r="DQ498" s="173"/>
      <c r="DR498" s="173"/>
      <c r="DS498" s="173"/>
      <c r="DT498" s="173"/>
      <c r="DU498" s="173"/>
      <c r="DV498" s="198"/>
    </row>
    <row r="499" spans="1:126" x14ac:dyDescent="0.2">
      <c r="A499" s="3">
        <v>80</v>
      </c>
      <c r="B499" s="3" t="s">
        <v>194</v>
      </c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CG499" s="176"/>
      <c r="CH499" s="197"/>
      <c r="CI499" s="180"/>
      <c r="CJ499" s="180"/>
      <c r="CK499" s="180"/>
      <c r="CL499" s="180"/>
      <c r="CM499" s="180"/>
      <c r="CN499" s="180"/>
      <c r="CO499" s="180"/>
      <c r="CP499" s="180"/>
      <c r="CQ499" s="180"/>
      <c r="CR499" s="180"/>
      <c r="CS499" s="180"/>
      <c r="CT499" s="180"/>
      <c r="CU499" s="180"/>
      <c r="CV499" s="173"/>
      <c r="CW499" s="173"/>
      <c r="CX499" s="173"/>
      <c r="CY499" s="173"/>
      <c r="CZ499" s="173"/>
      <c r="DA499" s="198"/>
      <c r="DC499" s="197"/>
      <c r="DD499" s="180"/>
      <c r="DE499" s="180"/>
      <c r="DF499" s="180"/>
      <c r="DG499" s="180"/>
      <c r="DH499" s="180"/>
      <c r="DI499" s="180"/>
      <c r="DJ499" s="180"/>
      <c r="DK499" s="180"/>
      <c r="DL499" s="180"/>
      <c r="DM499" s="180"/>
      <c r="DN499" s="180"/>
      <c r="DO499" s="180"/>
      <c r="DP499" s="180"/>
      <c r="DQ499" s="173"/>
      <c r="DR499" s="173"/>
      <c r="DS499" s="173"/>
      <c r="DT499" s="173"/>
      <c r="DU499" s="173"/>
      <c r="DV499" s="198"/>
    </row>
    <row r="500" spans="1:126" x14ac:dyDescent="0.2">
      <c r="A500" s="3">
        <v>81</v>
      </c>
      <c r="B500" s="3" t="s">
        <v>195</v>
      </c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CG500" s="176"/>
      <c r="CH500" s="199"/>
      <c r="CI500" s="200"/>
      <c r="CJ500" s="200"/>
      <c r="CK500" s="200"/>
      <c r="CL500" s="200"/>
      <c r="CM500" s="200"/>
      <c r="CN500" s="200"/>
      <c r="CO500" s="200"/>
      <c r="CP500" s="200"/>
      <c r="CQ500" s="201"/>
      <c r="CR500" s="202"/>
      <c r="CS500" s="200"/>
      <c r="CT500" s="200"/>
      <c r="CU500" s="200"/>
      <c r="CV500" s="203"/>
      <c r="CW500" s="203"/>
      <c r="CX500" s="203"/>
      <c r="CY500" s="203"/>
      <c r="CZ500" s="203"/>
      <c r="DA500" s="204"/>
      <c r="DC500" s="199"/>
      <c r="DD500" s="200"/>
      <c r="DE500" s="200"/>
      <c r="DF500" s="200"/>
      <c r="DG500" s="200"/>
      <c r="DH500" s="200"/>
      <c r="DI500" s="200"/>
      <c r="DJ500" s="200"/>
      <c r="DK500" s="200"/>
      <c r="DL500" s="200"/>
      <c r="DM500" s="200"/>
      <c r="DN500" s="200"/>
      <c r="DO500" s="200"/>
      <c r="DP500" s="200"/>
      <c r="DQ500" s="203"/>
      <c r="DR500" s="203"/>
      <c r="DS500" s="203"/>
      <c r="DT500" s="203"/>
      <c r="DU500" s="203"/>
      <c r="DV500" s="204"/>
    </row>
    <row r="501" spans="1:126" x14ac:dyDescent="0.2">
      <c r="A501" s="3">
        <v>82</v>
      </c>
      <c r="B501" s="3" t="s">
        <v>196</v>
      </c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CG501" s="176">
        <v>26</v>
      </c>
      <c r="CH501" s="192"/>
      <c r="CI501" s="193"/>
      <c r="CJ501" s="193"/>
      <c r="CK501" s="193"/>
      <c r="CL501" s="193"/>
      <c r="CM501" s="193"/>
      <c r="CN501" s="193"/>
      <c r="CO501" s="193"/>
      <c r="CP501" s="193"/>
      <c r="CQ501" s="193"/>
      <c r="CR501" s="193"/>
      <c r="CS501" s="193"/>
      <c r="CT501" s="193"/>
      <c r="CU501" s="193"/>
      <c r="CV501" s="194"/>
      <c r="CW501" s="194"/>
      <c r="CX501" s="194"/>
      <c r="CY501" s="194"/>
      <c r="CZ501" s="194"/>
      <c r="DA501" s="195"/>
      <c r="DC501" s="192"/>
      <c r="DD501" s="193"/>
      <c r="DE501" s="193"/>
      <c r="DF501" s="193"/>
      <c r="DG501" s="193"/>
      <c r="DH501" s="193"/>
      <c r="DI501" s="193"/>
      <c r="DJ501" s="193"/>
      <c r="DK501" s="193"/>
      <c r="DL501" s="193"/>
      <c r="DM501" s="193"/>
      <c r="DN501" s="193"/>
      <c r="DO501" s="193"/>
      <c r="DP501" s="193"/>
      <c r="DQ501" s="194"/>
      <c r="DR501" s="194"/>
      <c r="DS501" s="194"/>
      <c r="DT501" s="194"/>
      <c r="DU501" s="194"/>
      <c r="DV501" s="195"/>
    </row>
    <row r="502" spans="1:126" x14ac:dyDescent="0.2">
      <c r="A502" s="3">
        <v>83</v>
      </c>
      <c r="B502" s="3" t="s">
        <v>197</v>
      </c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CG502" s="176"/>
      <c r="CH502" s="169"/>
      <c r="CI502" s="177"/>
      <c r="CJ502" s="177"/>
      <c r="CK502" s="177"/>
      <c r="CL502" s="177"/>
      <c r="CM502" s="177"/>
      <c r="CN502" s="177"/>
      <c r="CO502" s="177"/>
      <c r="CP502" s="177"/>
      <c r="CQ502" s="177"/>
      <c r="CR502" s="177"/>
      <c r="CS502" s="177"/>
      <c r="CT502" s="177"/>
      <c r="CU502" s="177"/>
      <c r="CV502" s="172"/>
      <c r="CW502" s="172"/>
      <c r="CX502" s="172"/>
      <c r="CY502" s="172"/>
      <c r="CZ502" s="172"/>
      <c r="DA502" s="196"/>
      <c r="DC502" s="169"/>
      <c r="DD502" s="177"/>
      <c r="DE502" s="177"/>
      <c r="DF502" s="177"/>
      <c r="DG502" s="177"/>
      <c r="DH502" s="177"/>
      <c r="DI502" s="177"/>
      <c r="DJ502" s="177"/>
      <c r="DK502" s="177"/>
      <c r="DL502" s="177"/>
      <c r="DM502" s="177"/>
      <c r="DN502" s="177"/>
      <c r="DO502" s="177"/>
      <c r="DP502" s="177"/>
      <c r="DQ502" s="172"/>
      <c r="DR502" s="172"/>
      <c r="DS502" s="172"/>
      <c r="DT502" s="172"/>
      <c r="DU502" s="172"/>
      <c r="DV502" s="196"/>
    </row>
    <row r="503" spans="1:126" x14ac:dyDescent="0.2">
      <c r="A503" s="3">
        <v>84</v>
      </c>
      <c r="B503" s="3" t="s">
        <v>198</v>
      </c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CG503" s="131"/>
      <c r="CH503" s="169"/>
      <c r="CI503" s="177"/>
      <c r="CJ503" s="177"/>
      <c r="CK503" s="177"/>
      <c r="CL503" s="177"/>
      <c r="CM503" s="177"/>
      <c r="CN503" s="177"/>
      <c r="CO503" s="177"/>
      <c r="CP503" s="177"/>
      <c r="CQ503" s="177"/>
      <c r="CR503" s="177"/>
      <c r="CS503" s="177"/>
      <c r="CT503" s="177"/>
      <c r="CU503" s="177"/>
      <c r="CV503" s="172"/>
      <c r="CW503" s="172"/>
      <c r="CX503" s="172"/>
      <c r="CY503" s="172"/>
      <c r="CZ503" s="172"/>
      <c r="DA503" s="196"/>
      <c r="DC503" s="169"/>
      <c r="DD503" s="177"/>
      <c r="DE503" s="177"/>
      <c r="DF503" s="177"/>
      <c r="DG503" s="177"/>
      <c r="DH503" s="177"/>
      <c r="DI503" s="177"/>
      <c r="DJ503" s="177"/>
      <c r="DK503" s="177"/>
      <c r="DL503" s="177"/>
      <c r="DM503" s="177"/>
      <c r="DN503" s="177"/>
      <c r="DO503" s="177"/>
      <c r="DP503" s="177"/>
      <c r="DQ503" s="172"/>
      <c r="DR503" s="172"/>
      <c r="DS503" s="172"/>
      <c r="DT503" s="172"/>
      <c r="DU503" s="172"/>
      <c r="DV503" s="196"/>
    </row>
    <row r="504" spans="1:126" x14ac:dyDescent="0.2">
      <c r="A504" s="3">
        <v>85</v>
      </c>
      <c r="B504" s="3" t="s">
        <v>199</v>
      </c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CG504" s="176"/>
      <c r="CH504" s="169"/>
      <c r="CI504" s="177"/>
      <c r="CJ504" s="177"/>
      <c r="CK504" s="177"/>
      <c r="CL504" s="177"/>
      <c r="CM504" s="177"/>
      <c r="CN504" s="177"/>
      <c r="CO504" s="177"/>
      <c r="CP504" s="177"/>
      <c r="CQ504" s="177"/>
      <c r="CR504" s="177"/>
      <c r="CS504" s="177"/>
      <c r="CT504" s="177"/>
      <c r="CU504" s="177"/>
      <c r="CV504" s="172"/>
      <c r="CW504" s="172"/>
      <c r="CX504" s="172"/>
      <c r="CY504" s="172"/>
      <c r="CZ504" s="172"/>
      <c r="DA504" s="196"/>
      <c r="DC504" s="169"/>
      <c r="DD504" s="177"/>
      <c r="DE504" s="177"/>
      <c r="DF504" s="177"/>
      <c r="DG504" s="177"/>
      <c r="DH504" s="177"/>
      <c r="DI504" s="177"/>
      <c r="DJ504" s="177"/>
      <c r="DK504" s="177"/>
      <c r="DL504" s="177"/>
      <c r="DM504" s="177"/>
      <c r="DN504" s="177"/>
      <c r="DO504" s="177"/>
      <c r="DP504" s="177"/>
      <c r="DQ504" s="172"/>
      <c r="DR504" s="172"/>
      <c r="DS504" s="172"/>
      <c r="DT504" s="172"/>
      <c r="DU504" s="172"/>
      <c r="DV504" s="196"/>
    </row>
    <row r="505" spans="1:126" x14ac:dyDescent="0.2">
      <c r="A505" s="3">
        <v>86</v>
      </c>
      <c r="B505" s="3" t="s">
        <v>200</v>
      </c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CG505" s="178"/>
      <c r="CH505" s="169"/>
      <c r="CI505" s="177"/>
      <c r="CJ505" s="177"/>
      <c r="CK505" s="177"/>
      <c r="CL505" s="177"/>
      <c r="CM505" s="177"/>
      <c r="CN505" s="177"/>
      <c r="CO505" s="177"/>
      <c r="CP505" s="177"/>
      <c r="CQ505" s="177"/>
      <c r="CR505" s="177"/>
      <c r="CS505" s="177"/>
      <c r="CT505" s="177"/>
      <c r="CU505" s="177"/>
      <c r="CV505" s="172"/>
      <c r="CW505" s="172"/>
      <c r="CX505" s="172"/>
      <c r="CY505" s="172"/>
      <c r="CZ505" s="172"/>
      <c r="DA505" s="196"/>
      <c r="DC505" s="169"/>
      <c r="DD505" s="177"/>
      <c r="DE505" s="177"/>
      <c r="DF505" s="177"/>
      <c r="DG505" s="177"/>
      <c r="DH505" s="177"/>
      <c r="DI505" s="177"/>
      <c r="DJ505" s="177"/>
      <c r="DK505" s="177"/>
      <c r="DL505" s="177"/>
      <c r="DM505" s="177"/>
      <c r="DN505" s="177"/>
      <c r="DO505" s="177"/>
      <c r="DP505" s="177"/>
      <c r="DQ505" s="172"/>
      <c r="DR505" s="172"/>
      <c r="DS505" s="172"/>
      <c r="DT505" s="172"/>
      <c r="DU505" s="172"/>
      <c r="DV505" s="196"/>
    </row>
    <row r="506" spans="1:126" x14ac:dyDescent="0.2">
      <c r="A506" s="3">
        <v>87</v>
      </c>
      <c r="B506" s="3" t="s">
        <v>201</v>
      </c>
      <c r="CG506" s="179"/>
      <c r="CH506" s="169"/>
      <c r="CI506" s="177"/>
      <c r="CJ506" s="177"/>
      <c r="CK506" s="177"/>
      <c r="CL506" s="177"/>
      <c r="CM506" s="177"/>
      <c r="CN506" s="177"/>
      <c r="CO506" s="177"/>
      <c r="CP506" s="177"/>
      <c r="CQ506" s="177"/>
      <c r="CR506" s="177"/>
      <c r="CS506" s="177"/>
      <c r="CT506" s="177"/>
      <c r="CU506" s="177"/>
      <c r="CV506" s="172"/>
      <c r="CW506" s="172"/>
      <c r="CX506" s="172"/>
      <c r="CY506" s="172"/>
      <c r="CZ506" s="172"/>
      <c r="DA506" s="196"/>
      <c r="DC506" s="169"/>
      <c r="DD506" s="177"/>
      <c r="DE506" s="177"/>
      <c r="DF506" s="177"/>
      <c r="DG506" s="177"/>
      <c r="DH506" s="177"/>
      <c r="DI506" s="177"/>
      <c r="DJ506" s="177"/>
      <c r="DK506" s="177"/>
      <c r="DL506" s="177"/>
      <c r="DM506" s="177"/>
      <c r="DN506" s="177"/>
      <c r="DO506" s="177"/>
      <c r="DP506" s="177"/>
      <c r="DQ506" s="172"/>
      <c r="DR506" s="172"/>
      <c r="DS506" s="172"/>
      <c r="DT506" s="172"/>
      <c r="DU506" s="172"/>
      <c r="DV506" s="196"/>
    </row>
    <row r="507" spans="1:126" x14ac:dyDescent="0.2">
      <c r="A507" s="3">
        <v>88</v>
      </c>
      <c r="B507" s="3" t="s">
        <v>202</v>
      </c>
      <c r="CG507" s="179"/>
      <c r="CH507" s="169"/>
      <c r="CI507" s="177"/>
      <c r="CJ507" s="177"/>
      <c r="CK507" s="177"/>
      <c r="CL507" s="177"/>
      <c r="CM507" s="177"/>
      <c r="CN507" s="177"/>
      <c r="CO507" s="177"/>
      <c r="CP507" s="177"/>
      <c r="CQ507" s="177"/>
      <c r="CR507" s="177"/>
      <c r="CS507" s="177"/>
      <c r="CT507" s="177"/>
      <c r="CU507" s="177"/>
      <c r="CV507" s="172"/>
      <c r="CW507" s="172"/>
      <c r="CX507" s="172"/>
      <c r="CY507" s="172"/>
      <c r="CZ507" s="172"/>
      <c r="DA507" s="196"/>
      <c r="DC507" s="169"/>
      <c r="DD507" s="177"/>
      <c r="DE507" s="177"/>
      <c r="DF507" s="177"/>
      <c r="DG507" s="177"/>
      <c r="DH507" s="177"/>
      <c r="DI507" s="177"/>
      <c r="DJ507" s="177"/>
      <c r="DK507" s="177"/>
      <c r="DL507" s="177"/>
      <c r="DM507" s="177"/>
      <c r="DN507" s="177"/>
      <c r="DO507" s="177"/>
      <c r="DP507" s="177"/>
      <c r="DQ507" s="172"/>
      <c r="DR507" s="172"/>
      <c r="DS507" s="172"/>
      <c r="DT507" s="172"/>
      <c r="DU507" s="172"/>
      <c r="DV507" s="196"/>
    </row>
    <row r="508" spans="1:126" x14ac:dyDescent="0.2">
      <c r="A508" s="3">
        <v>89</v>
      </c>
      <c r="B508" s="3" t="s">
        <v>203</v>
      </c>
      <c r="CG508" s="179"/>
      <c r="CH508" s="169"/>
      <c r="CI508" s="177"/>
      <c r="CJ508" s="177"/>
      <c r="CK508" s="177"/>
      <c r="CL508" s="177"/>
      <c r="CM508" s="177"/>
      <c r="CN508" s="177"/>
      <c r="CO508" s="177"/>
      <c r="CP508" s="177"/>
      <c r="CQ508" s="177"/>
      <c r="CR508" s="177"/>
      <c r="CS508" s="177"/>
      <c r="CT508" s="177"/>
      <c r="CU508" s="177"/>
      <c r="CV508" s="172"/>
      <c r="CW508" s="172"/>
      <c r="CX508" s="172"/>
      <c r="CY508" s="172"/>
      <c r="CZ508" s="172"/>
      <c r="DA508" s="196"/>
      <c r="DC508" s="169"/>
      <c r="DD508" s="177"/>
      <c r="DE508" s="177"/>
      <c r="DF508" s="177"/>
      <c r="DG508" s="177"/>
      <c r="DH508" s="177"/>
      <c r="DI508" s="177"/>
      <c r="DJ508" s="177"/>
      <c r="DK508" s="177"/>
      <c r="DL508" s="177"/>
      <c r="DM508" s="177"/>
      <c r="DN508" s="177"/>
      <c r="DO508" s="177"/>
      <c r="DP508" s="177"/>
      <c r="DQ508" s="172"/>
      <c r="DR508" s="172"/>
      <c r="DS508" s="172"/>
      <c r="DT508" s="172"/>
      <c r="DU508" s="172"/>
      <c r="DV508" s="196"/>
    </row>
    <row r="509" spans="1:126" x14ac:dyDescent="0.2">
      <c r="A509" s="3">
        <v>90</v>
      </c>
      <c r="B509" s="3" t="s">
        <v>204</v>
      </c>
      <c r="CG509" s="179"/>
      <c r="CH509" s="169"/>
      <c r="CI509" s="177"/>
      <c r="CJ509" s="177"/>
      <c r="CK509" s="177"/>
      <c r="CL509" s="177"/>
      <c r="CM509" s="177"/>
      <c r="CN509" s="177"/>
      <c r="CO509" s="177"/>
      <c r="CP509" s="177"/>
      <c r="CQ509" s="177"/>
      <c r="CR509" s="177"/>
      <c r="CS509" s="177"/>
      <c r="CT509" s="177"/>
      <c r="CU509" s="177"/>
      <c r="CV509" s="172"/>
      <c r="CW509" s="172"/>
      <c r="CX509" s="172"/>
      <c r="CY509" s="172"/>
      <c r="CZ509" s="172"/>
      <c r="DA509" s="196"/>
      <c r="DC509" s="169"/>
      <c r="DD509" s="177"/>
      <c r="DE509" s="177"/>
      <c r="DF509" s="177"/>
      <c r="DG509" s="177"/>
      <c r="DH509" s="177"/>
      <c r="DI509" s="177"/>
      <c r="DJ509" s="177"/>
      <c r="DK509" s="177"/>
      <c r="DL509" s="177"/>
      <c r="DM509" s="177"/>
      <c r="DN509" s="177"/>
      <c r="DO509" s="177"/>
      <c r="DP509" s="177"/>
      <c r="DQ509" s="172"/>
      <c r="DR509" s="172"/>
      <c r="DS509" s="172"/>
      <c r="DT509" s="172"/>
      <c r="DU509" s="172"/>
      <c r="DV509" s="196"/>
    </row>
    <row r="510" spans="1:126" x14ac:dyDescent="0.2">
      <c r="A510" s="3">
        <v>91</v>
      </c>
      <c r="B510" s="3" t="s">
        <v>205</v>
      </c>
      <c r="CG510" s="179"/>
      <c r="CH510" s="169"/>
      <c r="CI510" s="177"/>
      <c r="CJ510" s="177"/>
      <c r="CK510" s="177"/>
      <c r="CL510" s="177"/>
      <c r="CM510" s="177"/>
      <c r="CN510" s="177"/>
      <c r="CO510" s="177"/>
      <c r="CP510" s="177"/>
      <c r="CQ510" s="177"/>
      <c r="CR510" s="177"/>
      <c r="CS510" s="177"/>
      <c r="CT510" s="177"/>
      <c r="CU510" s="177"/>
      <c r="CV510" s="172"/>
      <c r="CW510" s="172"/>
      <c r="CX510" s="172"/>
      <c r="CY510" s="172"/>
      <c r="CZ510" s="172"/>
      <c r="DA510" s="196"/>
      <c r="DC510" s="169"/>
      <c r="DD510" s="177"/>
      <c r="DE510" s="177"/>
      <c r="DF510" s="177"/>
      <c r="DG510" s="177"/>
      <c r="DH510" s="177"/>
      <c r="DI510" s="177"/>
      <c r="DJ510" s="177"/>
      <c r="DK510" s="177"/>
      <c r="DL510" s="177"/>
      <c r="DM510" s="177"/>
      <c r="DN510" s="177"/>
      <c r="DO510" s="177"/>
      <c r="DP510" s="177"/>
      <c r="DQ510" s="172"/>
      <c r="DR510" s="172"/>
      <c r="DS510" s="172"/>
      <c r="DT510" s="172"/>
      <c r="DU510" s="172"/>
      <c r="DV510" s="196"/>
    </row>
    <row r="511" spans="1:126" x14ac:dyDescent="0.2">
      <c r="A511" s="3">
        <v>92</v>
      </c>
      <c r="B511" s="3" t="s">
        <v>206</v>
      </c>
      <c r="CG511" s="179"/>
      <c r="CH511" s="169"/>
      <c r="CI511" s="177"/>
      <c r="CJ511" s="177"/>
      <c r="CK511" s="177"/>
      <c r="CL511" s="177"/>
      <c r="CM511" s="177"/>
      <c r="CN511" s="177"/>
      <c r="CO511" s="177"/>
      <c r="CP511" s="177"/>
      <c r="CQ511" s="177"/>
      <c r="CR511" s="177"/>
      <c r="CS511" s="177"/>
      <c r="CT511" s="177"/>
      <c r="CU511" s="177"/>
      <c r="CV511" s="172"/>
      <c r="CW511" s="172"/>
      <c r="CX511" s="172"/>
      <c r="CY511" s="172"/>
      <c r="CZ511" s="172"/>
      <c r="DA511" s="196"/>
      <c r="DC511" s="169"/>
      <c r="DD511" s="177"/>
      <c r="DE511" s="177"/>
      <c r="DF511" s="177"/>
      <c r="DG511" s="177"/>
      <c r="DH511" s="177"/>
      <c r="DI511" s="177"/>
      <c r="DJ511" s="177"/>
      <c r="DK511" s="177"/>
      <c r="DL511" s="177"/>
      <c r="DM511" s="177"/>
      <c r="DN511" s="177"/>
      <c r="DO511" s="177"/>
      <c r="DP511" s="177"/>
      <c r="DQ511" s="172"/>
      <c r="DR511" s="172"/>
      <c r="DS511" s="172"/>
      <c r="DT511" s="172"/>
      <c r="DU511" s="172"/>
      <c r="DV511" s="196"/>
    </row>
    <row r="512" spans="1:126" x14ac:dyDescent="0.2">
      <c r="A512" s="3">
        <v>93</v>
      </c>
      <c r="B512" s="3" t="s">
        <v>207</v>
      </c>
      <c r="CG512" s="179"/>
      <c r="CH512" s="169"/>
      <c r="CI512" s="177"/>
      <c r="CJ512" s="177"/>
      <c r="CK512" s="177"/>
      <c r="CL512" s="177"/>
      <c r="CM512" s="177"/>
      <c r="CN512" s="177"/>
      <c r="CO512" s="177"/>
      <c r="CP512" s="177"/>
      <c r="CQ512" s="177"/>
      <c r="CR512" s="177"/>
      <c r="CS512" s="177"/>
      <c r="CT512" s="177"/>
      <c r="CU512" s="177"/>
      <c r="CV512" s="172"/>
      <c r="CW512" s="172"/>
      <c r="CX512" s="172"/>
      <c r="CY512" s="172"/>
      <c r="CZ512" s="172"/>
      <c r="DA512" s="196"/>
      <c r="DC512" s="169"/>
      <c r="DD512" s="177"/>
      <c r="DE512" s="177"/>
      <c r="DF512" s="177"/>
      <c r="DG512" s="177"/>
      <c r="DH512" s="177"/>
      <c r="DI512" s="177"/>
      <c r="DJ512" s="177"/>
      <c r="DK512" s="177"/>
      <c r="DL512" s="177"/>
      <c r="DM512" s="177"/>
      <c r="DN512" s="177"/>
      <c r="DO512" s="177"/>
      <c r="DP512" s="177"/>
      <c r="DQ512" s="172"/>
      <c r="DR512" s="172"/>
      <c r="DS512" s="172"/>
      <c r="DT512" s="172"/>
      <c r="DU512" s="172"/>
      <c r="DV512" s="196"/>
    </row>
    <row r="513" spans="1:126" x14ac:dyDescent="0.2">
      <c r="A513" s="3">
        <v>94</v>
      </c>
      <c r="B513" s="3" t="s">
        <v>208</v>
      </c>
      <c r="CG513" s="179"/>
      <c r="CH513" s="197"/>
      <c r="CI513" s="180"/>
      <c r="CJ513" s="180"/>
      <c r="CK513" s="180"/>
      <c r="CL513" s="180"/>
      <c r="CM513" s="180"/>
      <c r="CN513" s="180"/>
      <c r="CO513" s="180"/>
      <c r="CP513" s="180"/>
      <c r="CQ513" s="180"/>
      <c r="CR513" s="180"/>
      <c r="CS513" s="180"/>
      <c r="CT513" s="180"/>
      <c r="CU513" s="180"/>
      <c r="CV513" s="173"/>
      <c r="CW513" s="173"/>
      <c r="CX513" s="173"/>
      <c r="CY513" s="173"/>
      <c r="CZ513" s="173"/>
      <c r="DA513" s="198"/>
      <c r="DC513" s="197"/>
      <c r="DD513" s="180"/>
      <c r="DE513" s="180"/>
      <c r="DF513" s="180"/>
      <c r="DG513" s="180"/>
      <c r="DH513" s="180"/>
      <c r="DI513" s="180"/>
      <c r="DJ513" s="180"/>
      <c r="DK513" s="180"/>
      <c r="DL513" s="180"/>
      <c r="DM513" s="180"/>
      <c r="DN513" s="180"/>
      <c r="DO513" s="180"/>
      <c r="DP513" s="180"/>
      <c r="DQ513" s="173"/>
      <c r="DR513" s="173"/>
      <c r="DS513" s="173"/>
      <c r="DT513" s="173"/>
      <c r="DU513" s="173"/>
      <c r="DV513" s="198"/>
    </row>
    <row r="514" spans="1:126" x14ac:dyDescent="0.2">
      <c r="A514" s="3">
        <v>95</v>
      </c>
      <c r="B514" s="3" t="s">
        <v>209</v>
      </c>
      <c r="CG514" s="179"/>
      <c r="CH514" s="197"/>
      <c r="CI514" s="180"/>
      <c r="CJ514" s="180"/>
      <c r="CK514" s="180"/>
      <c r="CL514" s="180"/>
      <c r="CM514" s="180"/>
      <c r="CN514" s="180"/>
      <c r="CO514" s="180"/>
      <c r="CP514" s="180"/>
      <c r="CQ514" s="180"/>
      <c r="CR514" s="180"/>
      <c r="CS514" s="180"/>
      <c r="CT514" s="180"/>
      <c r="CU514" s="180"/>
      <c r="CV514" s="173"/>
      <c r="CW514" s="173"/>
      <c r="CX514" s="173"/>
      <c r="CY514" s="173"/>
      <c r="CZ514" s="173"/>
      <c r="DA514" s="198"/>
      <c r="DC514" s="197"/>
      <c r="DD514" s="180"/>
      <c r="DE514" s="180"/>
      <c r="DF514" s="180"/>
      <c r="DG514" s="180"/>
      <c r="DH514" s="180"/>
      <c r="DI514" s="180"/>
      <c r="DJ514" s="180"/>
      <c r="DK514" s="180"/>
      <c r="DL514" s="180"/>
      <c r="DM514" s="180"/>
      <c r="DN514" s="180"/>
      <c r="DO514" s="180"/>
      <c r="DP514" s="180"/>
      <c r="DQ514" s="173"/>
      <c r="DR514" s="173"/>
      <c r="DS514" s="173"/>
      <c r="DT514" s="173"/>
      <c r="DU514" s="173"/>
      <c r="DV514" s="198"/>
    </row>
    <row r="515" spans="1:126" x14ac:dyDescent="0.2">
      <c r="A515" s="3">
        <v>96</v>
      </c>
      <c r="B515" s="3" t="s">
        <v>210</v>
      </c>
      <c r="CG515" s="179"/>
      <c r="CH515" s="197"/>
      <c r="CI515" s="180"/>
      <c r="CJ515" s="180"/>
      <c r="CK515" s="180"/>
      <c r="CL515" s="180"/>
      <c r="CM515" s="180"/>
      <c r="CN515" s="180"/>
      <c r="CO515" s="180"/>
      <c r="CP515" s="180"/>
      <c r="CQ515" s="180"/>
      <c r="CR515" s="180"/>
      <c r="CS515" s="180"/>
      <c r="CT515" s="180"/>
      <c r="CU515" s="180"/>
      <c r="CV515" s="173"/>
      <c r="CW515" s="173"/>
      <c r="CX515" s="173"/>
      <c r="CY515" s="173"/>
      <c r="CZ515" s="173"/>
      <c r="DA515" s="198"/>
      <c r="DC515" s="197"/>
      <c r="DD515" s="180"/>
      <c r="DE515" s="180"/>
      <c r="DF515" s="180"/>
      <c r="DG515" s="180"/>
      <c r="DH515" s="180"/>
      <c r="DI515" s="180"/>
      <c r="DJ515" s="180"/>
      <c r="DK515" s="180"/>
      <c r="DL515" s="180"/>
      <c r="DM515" s="180"/>
      <c r="DN515" s="180"/>
      <c r="DO515" s="180"/>
      <c r="DP515" s="180"/>
      <c r="DQ515" s="173"/>
      <c r="DR515" s="173"/>
      <c r="DS515" s="173"/>
      <c r="DT515" s="173"/>
      <c r="DU515" s="173"/>
      <c r="DV515" s="198"/>
    </row>
    <row r="516" spans="1:126" x14ac:dyDescent="0.2">
      <c r="A516" s="3">
        <v>97</v>
      </c>
      <c r="B516" s="3" t="s">
        <v>211</v>
      </c>
      <c r="CG516" s="179"/>
      <c r="CH516" s="197"/>
      <c r="CI516" s="180"/>
      <c r="CJ516" s="180"/>
      <c r="CK516" s="180"/>
      <c r="CL516" s="180"/>
      <c r="CM516" s="180"/>
      <c r="CN516" s="180"/>
      <c r="CO516" s="180"/>
      <c r="CP516" s="180"/>
      <c r="CQ516" s="180"/>
      <c r="CR516" s="180"/>
      <c r="CS516" s="180"/>
      <c r="CT516" s="180"/>
      <c r="CU516" s="180"/>
      <c r="CV516" s="173"/>
      <c r="CW516" s="173"/>
      <c r="CX516" s="173"/>
      <c r="CY516" s="173"/>
      <c r="CZ516" s="173"/>
      <c r="DA516" s="198"/>
      <c r="DC516" s="197"/>
      <c r="DD516" s="180"/>
      <c r="DE516" s="180"/>
      <c r="DF516" s="180"/>
      <c r="DG516" s="180"/>
      <c r="DH516" s="180"/>
      <c r="DI516" s="180"/>
      <c r="DJ516" s="180"/>
      <c r="DK516" s="180"/>
      <c r="DL516" s="180"/>
      <c r="DM516" s="180"/>
      <c r="DN516" s="180"/>
      <c r="DO516" s="180"/>
      <c r="DP516" s="180"/>
      <c r="DQ516" s="173"/>
      <c r="DR516" s="173"/>
      <c r="DS516" s="173"/>
      <c r="DT516" s="173"/>
      <c r="DU516" s="173"/>
      <c r="DV516" s="198"/>
    </row>
    <row r="517" spans="1:126" x14ac:dyDescent="0.2">
      <c r="A517" s="3">
        <v>98</v>
      </c>
      <c r="B517" s="3" t="s">
        <v>212</v>
      </c>
      <c r="CG517" s="179"/>
      <c r="CH517" s="197"/>
      <c r="CI517" s="180"/>
      <c r="CJ517" s="180"/>
      <c r="CK517" s="180"/>
      <c r="CL517" s="180"/>
      <c r="CM517" s="180"/>
      <c r="CN517" s="180"/>
      <c r="CO517" s="180"/>
      <c r="CP517" s="180"/>
      <c r="CQ517" s="180"/>
      <c r="CR517" s="180"/>
      <c r="CS517" s="180"/>
      <c r="CT517" s="180"/>
      <c r="CU517" s="180"/>
      <c r="CV517" s="173"/>
      <c r="CW517" s="173"/>
      <c r="CX517" s="173"/>
      <c r="CY517" s="173"/>
      <c r="CZ517" s="173"/>
      <c r="DA517" s="198"/>
      <c r="DC517" s="197"/>
      <c r="DD517" s="180"/>
      <c r="DE517" s="180"/>
      <c r="DF517" s="180"/>
      <c r="DG517" s="180"/>
      <c r="DH517" s="180"/>
      <c r="DI517" s="180"/>
      <c r="DJ517" s="180"/>
      <c r="DK517" s="180"/>
      <c r="DL517" s="180"/>
      <c r="DM517" s="180"/>
      <c r="DN517" s="180"/>
      <c r="DO517" s="180"/>
      <c r="DP517" s="180"/>
      <c r="DQ517" s="173"/>
      <c r="DR517" s="173"/>
      <c r="DS517" s="173"/>
      <c r="DT517" s="173"/>
      <c r="DU517" s="173"/>
      <c r="DV517" s="198"/>
    </row>
    <row r="518" spans="1:126" x14ac:dyDescent="0.2">
      <c r="A518" s="3">
        <v>99</v>
      </c>
      <c r="B518" s="3" t="s">
        <v>213</v>
      </c>
      <c r="CG518" s="176"/>
      <c r="CH518" s="197"/>
      <c r="CI518" s="180"/>
      <c r="CJ518" s="180"/>
      <c r="CK518" s="180"/>
      <c r="CL518" s="180"/>
      <c r="CM518" s="180"/>
      <c r="CN518" s="180"/>
      <c r="CO518" s="180"/>
      <c r="CP518" s="180"/>
      <c r="CQ518" s="180"/>
      <c r="CR518" s="180"/>
      <c r="CS518" s="180"/>
      <c r="CT518" s="180"/>
      <c r="CU518" s="180"/>
      <c r="CV518" s="173"/>
      <c r="CW518" s="173"/>
      <c r="CX518" s="173"/>
      <c r="CY518" s="173"/>
      <c r="CZ518" s="173"/>
      <c r="DA518" s="198"/>
      <c r="DC518" s="197"/>
      <c r="DD518" s="180"/>
      <c r="DE518" s="180"/>
      <c r="DF518" s="180"/>
      <c r="DG518" s="180"/>
      <c r="DH518" s="180"/>
      <c r="DI518" s="180"/>
      <c r="DJ518" s="180"/>
      <c r="DK518" s="180"/>
      <c r="DL518" s="180"/>
      <c r="DM518" s="180"/>
      <c r="DN518" s="180"/>
      <c r="DO518" s="180"/>
      <c r="DP518" s="180"/>
      <c r="DQ518" s="173"/>
      <c r="DR518" s="173"/>
      <c r="DS518" s="173"/>
      <c r="DT518" s="173"/>
      <c r="DU518" s="173"/>
      <c r="DV518" s="198"/>
    </row>
    <row r="519" spans="1:126" x14ac:dyDescent="0.2">
      <c r="A519" s="3">
        <v>100</v>
      </c>
      <c r="B519" s="3" t="s">
        <v>214</v>
      </c>
      <c r="CG519" s="176"/>
      <c r="CH519" s="197"/>
      <c r="CI519" s="180"/>
      <c r="CJ519" s="180"/>
      <c r="CK519" s="180"/>
      <c r="CL519" s="180"/>
      <c r="CM519" s="180"/>
      <c r="CN519" s="180"/>
      <c r="CO519" s="180"/>
      <c r="CP519" s="180"/>
      <c r="CQ519" s="180"/>
      <c r="CR519" s="180"/>
      <c r="CS519" s="180"/>
      <c r="CT519" s="180"/>
      <c r="CU519" s="180"/>
      <c r="CV519" s="173"/>
      <c r="CW519" s="173"/>
      <c r="CX519" s="173"/>
      <c r="CY519" s="173"/>
      <c r="CZ519" s="173"/>
      <c r="DA519" s="198"/>
      <c r="DC519" s="197"/>
      <c r="DD519" s="180"/>
      <c r="DE519" s="180"/>
      <c r="DF519" s="180"/>
      <c r="DG519" s="180"/>
      <c r="DH519" s="180"/>
      <c r="DI519" s="180"/>
      <c r="DJ519" s="180"/>
      <c r="DK519" s="180"/>
      <c r="DL519" s="180"/>
      <c r="DM519" s="180"/>
      <c r="DN519" s="180"/>
      <c r="DO519" s="180"/>
      <c r="DP519" s="180"/>
      <c r="DQ519" s="173"/>
      <c r="DR519" s="173"/>
      <c r="DS519" s="173"/>
      <c r="DT519" s="173"/>
      <c r="DU519" s="173"/>
      <c r="DV519" s="198"/>
    </row>
    <row r="520" spans="1:126" x14ac:dyDescent="0.2">
      <c r="A520" s="3">
        <v>101</v>
      </c>
      <c r="B520" s="3" t="s">
        <v>215</v>
      </c>
      <c r="CG520" s="176"/>
      <c r="CH520" s="199"/>
      <c r="CI520" s="200"/>
      <c r="CJ520" s="200"/>
      <c r="CK520" s="200"/>
      <c r="CL520" s="200"/>
      <c r="CM520" s="200"/>
      <c r="CN520" s="200"/>
      <c r="CO520" s="200"/>
      <c r="CP520" s="200"/>
      <c r="CQ520" s="201"/>
      <c r="CR520" s="202"/>
      <c r="CS520" s="200"/>
      <c r="CT520" s="200"/>
      <c r="CU520" s="200"/>
      <c r="CV520" s="203"/>
      <c r="CW520" s="203"/>
      <c r="CX520" s="203"/>
      <c r="CY520" s="203"/>
      <c r="CZ520" s="203"/>
      <c r="DA520" s="204"/>
      <c r="DC520" s="199"/>
      <c r="DD520" s="200"/>
      <c r="DE520" s="200"/>
      <c r="DF520" s="200"/>
      <c r="DG520" s="200"/>
      <c r="DH520" s="200"/>
      <c r="DI520" s="200"/>
      <c r="DJ520" s="200"/>
      <c r="DK520" s="200"/>
      <c r="DL520" s="200"/>
      <c r="DM520" s="200"/>
      <c r="DN520" s="200"/>
      <c r="DO520" s="200"/>
      <c r="DP520" s="200"/>
      <c r="DQ520" s="203"/>
      <c r="DR520" s="203"/>
      <c r="DS520" s="203"/>
      <c r="DT520" s="203"/>
      <c r="DU520" s="203"/>
      <c r="DV520" s="204"/>
    </row>
    <row r="521" spans="1:126" x14ac:dyDescent="0.2">
      <c r="A521" s="3">
        <v>102</v>
      </c>
      <c r="B521" s="3" t="s">
        <v>216</v>
      </c>
      <c r="CG521" s="176">
        <v>27</v>
      </c>
      <c r="CH521" s="192"/>
      <c r="CI521" s="193"/>
      <c r="CJ521" s="193"/>
      <c r="CK521" s="193"/>
      <c r="CL521" s="193"/>
      <c r="CM521" s="193"/>
      <c r="CN521" s="193"/>
      <c r="CO521" s="193"/>
      <c r="CP521" s="193"/>
      <c r="CQ521" s="193"/>
      <c r="CR521" s="193"/>
      <c r="CS521" s="193"/>
      <c r="CT521" s="193"/>
      <c r="CU521" s="193"/>
      <c r="CV521" s="194"/>
      <c r="CW521" s="194"/>
      <c r="CX521" s="194"/>
      <c r="CY521" s="194"/>
      <c r="CZ521" s="194"/>
      <c r="DA521" s="195"/>
      <c r="DC521" s="192"/>
      <c r="DD521" s="193"/>
      <c r="DE521" s="193"/>
      <c r="DF521" s="193"/>
      <c r="DG521" s="193"/>
      <c r="DH521" s="193"/>
      <c r="DI521" s="193"/>
      <c r="DJ521" s="193"/>
      <c r="DK521" s="193"/>
      <c r="DL521" s="193"/>
      <c r="DM521" s="193"/>
      <c r="DN521" s="193"/>
      <c r="DO521" s="193"/>
      <c r="DP521" s="193"/>
      <c r="DQ521" s="194"/>
      <c r="DR521" s="194"/>
      <c r="DS521" s="194"/>
      <c r="DT521" s="194"/>
      <c r="DU521" s="194"/>
      <c r="DV521" s="195"/>
    </row>
    <row r="522" spans="1:126" x14ac:dyDescent="0.2">
      <c r="A522" s="3">
        <v>103</v>
      </c>
      <c r="B522" s="3" t="s">
        <v>217</v>
      </c>
      <c r="CG522" s="176"/>
      <c r="CH522" s="169"/>
      <c r="CI522" s="177"/>
      <c r="CJ522" s="177"/>
      <c r="CK522" s="177"/>
      <c r="CL522" s="177"/>
      <c r="CM522" s="177"/>
      <c r="CN522" s="177"/>
      <c r="CO522" s="177"/>
      <c r="CP522" s="177"/>
      <c r="CQ522" s="177"/>
      <c r="CR522" s="177"/>
      <c r="CS522" s="177"/>
      <c r="CT522" s="177"/>
      <c r="CU522" s="177"/>
      <c r="CV522" s="172"/>
      <c r="CW522" s="172"/>
      <c r="CX522" s="172"/>
      <c r="CY522" s="172"/>
      <c r="CZ522" s="172"/>
      <c r="DA522" s="196"/>
      <c r="DC522" s="169"/>
      <c r="DD522" s="177"/>
      <c r="DE522" s="177"/>
      <c r="DF522" s="177"/>
      <c r="DG522" s="177"/>
      <c r="DH522" s="177"/>
      <c r="DI522" s="177"/>
      <c r="DJ522" s="177"/>
      <c r="DK522" s="177"/>
      <c r="DL522" s="177"/>
      <c r="DM522" s="177"/>
      <c r="DN522" s="177"/>
      <c r="DO522" s="177"/>
      <c r="DP522" s="177"/>
      <c r="DQ522" s="172"/>
      <c r="DR522" s="172"/>
      <c r="DS522" s="172"/>
      <c r="DT522" s="172"/>
      <c r="DU522" s="172"/>
      <c r="DV522" s="196"/>
    </row>
    <row r="523" spans="1:126" x14ac:dyDescent="0.2">
      <c r="A523" s="3">
        <v>104</v>
      </c>
      <c r="B523" s="3" t="s">
        <v>218</v>
      </c>
      <c r="CG523" s="131"/>
      <c r="CH523" s="169"/>
      <c r="CI523" s="177"/>
      <c r="CJ523" s="177"/>
      <c r="CK523" s="177"/>
      <c r="CL523" s="177"/>
      <c r="CM523" s="177"/>
      <c r="CN523" s="177"/>
      <c r="CO523" s="177"/>
      <c r="CP523" s="177"/>
      <c r="CQ523" s="177"/>
      <c r="CR523" s="177"/>
      <c r="CS523" s="177"/>
      <c r="CT523" s="177"/>
      <c r="CU523" s="177"/>
      <c r="CV523" s="172"/>
      <c r="CW523" s="172"/>
      <c r="CX523" s="172"/>
      <c r="CY523" s="172"/>
      <c r="CZ523" s="172"/>
      <c r="DA523" s="196"/>
      <c r="DC523" s="169"/>
      <c r="DD523" s="177"/>
      <c r="DE523" s="177"/>
      <c r="DF523" s="177"/>
      <c r="DG523" s="177"/>
      <c r="DH523" s="177"/>
      <c r="DI523" s="177"/>
      <c r="DJ523" s="177"/>
      <c r="DK523" s="177"/>
      <c r="DL523" s="177"/>
      <c r="DM523" s="177"/>
      <c r="DN523" s="177"/>
      <c r="DO523" s="177"/>
      <c r="DP523" s="177"/>
      <c r="DQ523" s="172"/>
      <c r="DR523" s="172"/>
      <c r="DS523" s="172"/>
      <c r="DT523" s="172"/>
      <c r="DU523" s="172"/>
      <c r="DV523" s="196"/>
    </row>
    <row r="524" spans="1:126" x14ac:dyDescent="0.2">
      <c r="A524" s="3">
        <v>105</v>
      </c>
      <c r="B524" s="3" t="s">
        <v>219</v>
      </c>
      <c r="CG524" s="176"/>
      <c r="CH524" s="169"/>
      <c r="CI524" s="177"/>
      <c r="CJ524" s="177"/>
      <c r="CK524" s="177"/>
      <c r="CL524" s="177"/>
      <c r="CM524" s="177"/>
      <c r="CN524" s="177"/>
      <c r="CO524" s="177"/>
      <c r="CP524" s="177"/>
      <c r="CQ524" s="177"/>
      <c r="CR524" s="177"/>
      <c r="CS524" s="177"/>
      <c r="CT524" s="177"/>
      <c r="CU524" s="177"/>
      <c r="CV524" s="172"/>
      <c r="CW524" s="172"/>
      <c r="CX524" s="172"/>
      <c r="CY524" s="172"/>
      <c r="CZ524" s="172"/>
      <c r="DA524" s="196"/>
      <c r="DC524" s="169"/>
      <c r="DD524" s="177"/>
      <c r="DE524" s="177"/>
      <c r="DF524" s="177"/>
      <c r="DG524" s="177"/>
      <c r="DH524" s="177"/>
      <c r="DI524" s="177"/>
      <c r="DJ524" s="177"/>
      <c r="DK524" s="177"/>
      <c r="DL524" s="177"/>
      <c r="DM524" s="177"/>
      <c r="DN524" s="177"/>
      <c r="DO524" s="177"/>
      <c r="DP524" s="177"/>
      <c r="DQ524" s="172"/>
      <c r="DR524" s="172"/>
      <c r="DS524" s="172"/>
      <c r="DT524" s="172"/>
      <c r="DU524" s="172"/>
      <c r="DV524" s="196"/>
    </row>
    <row r="525" spans="1:126" x14ac:dyDescent="0.2">
      <c r="A525" s="3">
        <v>106</v>
      </c>
      <c r="B525" s="3" t="s">
        <v>220</v>
      </c>
      <c r="CG525" s="178"/>
      <c r="CH525" s="169"/>
      <c r="CI525" s="177"/>
      <c r="CJ525" s="177"/>
      <c r="CK525" s="177"/>
      <c r="CL525" s="177"/>
      <c r="CM525" s="177"/>
      <c r="CN525" s="177"/>
      <c r="CO525" s="177"/>
      <c r="CP525" s="177"/>
      <c r="CQ525" s="177"/>
      <c r="CR525" s="177"/>
      <c r="CS525" s="177"/>
      <c r="CT525" s="177"/>
      <c r="CU525" s="177"/>
      <c r="CV525" s="172"/>
      <c r="CW525" s="172"/>
      <c r="CX525" s="172"/>
      <c r="CY525" s="172"/>
      <c r="CZ525" s="172"/>
      <c r="DA525" s="196"/>
      <c r="DC525" s="169"/>
      <c r="DD525" s="177"/>
      <c r="DE525" s="177"/>
      <c r="DF525" s="177"/>
      <c r="DG525" s="177"/>
      <c r="DH525" s="177"/>
      <c r="DI525" s="177"/>
      <c r="DJ525" s="177"/>
      <c r="DK525" s="177"/>
      <c r="DL525" s="177"/>
      <c r="DM525" s="177"/>
      <c r="DN525" s="177"/>
      <c r="DO525" s="177"/>
      <c r="DP525" s="177"/>
      <c r="DQ525" s="172"/>
      <c r="DR525" s="172"/>
      <c r="DS525" s="172"/>
      <c r="DT525" s="172"/>
      <c r="DU525" s="172"/>
      <c r="DV525" s="196"/>
    </row>
    <row r="526" spans="1:126" x14ac:dyDescent="0.2">
      <c r="A526" s="3">
        <v>107</v>
      </c>
      <c r="B526" s="3" t="s">
        <v>221</v>
      </c>
      <c r="CG526" s="179"/>
      <c r="CH526" s="169"/>
      <c r="CI526" s="177"/>
      <c r="CJ526" s="177"/>
      <c r="CK526" s="177"/>
      <c r="CL526" s="177"/>
      <c r="CM526" s="177"/>
      <c r="CN526" s="177"/>
      <c r="CO526" s="177"/>
      <c r="CP526" s="177"/>
      <c r="CQ526" s="177"/>
      <c r="CR526" s="177"/>
      <c r="CS526" s="177"/>
      <c r="CT526" s="177"/>
      <c r="CU526" s="177"/>
      <c r="CV526" s="172"/>
      <c r="CW526" s="172"/>
      <c r="CX526" s="172"/>
      <c r="CY526" s="172"/>
      <c r="CZ526" s="172"/>
      <c r="DA526" s="196"/>
      <c r="DC526" s="169"/>
      <c r="DD526" s="177"/>
      <c r="DE526" s="177"/>
      <c r="DF526" s="177"/>
      <c r="DG526" s="177"/>
      <c r="DH526" s="177"/>
      <c r="DI526" s="177"/>
      <c r="DJ526" s="177"/>
      <c r="DK526" s="177"/>
      <c r="DL526" s="177"/>
      <c r="DM526" s="177"/>
      <c r="DN526" s="177"/>
      <c r="DO526" s="177"/>
      <c r="DP526" s="177"/>
      <c r="DQ526" s="172"/>
      <c r="DR526" s="172"/>
      <c r="DS526" s="172"/>
      <c r="DT526" s="172"/>
      <c r="DU526" s="172"/>
      <c r="DV526" s="196"/>
    </row>
    <row r="527" spans="1:126" x14ac:dyDescent="0.2">
      <c r="A527" s="3">
        <v>108</v>
      </c>
      <c r="B527" s="3" t="s">
        <v>222</v>
      </c>
      <c r="CG527" s="179"/>
      <c r="CH527" s="169"/>
      <c r="CI527" s="177"/>
      <c r="CJ527" s="177"/>
      <c r="CK527" s="177"/>
      <c r="CL527" s="177"/>
      <c r="CM527" s="177"/>
      <c r="CN527" s="177"/>
      <c r="CO527" s="177"/>
      <c r="CP527" s="177"/>
      <c r="CQ527" s="177"/>
      <c r="CR527" s="177"/>
      <c r="CS527" s="177"/>
      <c r="CT527" s="177"/>
      <c r="CU527" s="177"/>
      <c r="CV527" s="172"/>
      <c r="CW527" s="172"/>
      <c r="CX527" s="172"/>
      <c r="CY527" s="172"/>
      <c r="CZ527" s="172"/>
      <c r="DA527" s="196"/>
      <c r="DC527" s="169"/>
      <c r="DD527" s="177"/>
      <c r="DE527" s="177"/>
      <c r="DF527" s="177"/>
      <c r="DG527" s="177"/>
      <c r="DH527" s="177"/>
      <c r="DI527" s="177"/>
      <c r="DJ527" s="177"/>
      <c r="DK527" s="177"/>
      <c r="DL527" s="177"/>
      <c r="DM527" s="177"/>
      <c r="DN527" s="177"/>
      <c r="DO527" s="177"/>
      <c r="DP527" s="177"/>
      <c r="DQ527" s="172"/>
      <c r="DR527" s="172"/>
      <c r="DS527" s="172"/>
      <c r="DT527" s="172"/>
      <c r="DU527" s="172"/>
      <c r="DV527" s="196"/>
    </row>
    <row r="528" spans="1:126" x14ac:dyDescent="0.2">
      <c r="A528" s="3">
        <v>109</v>
      </c>
      <c r="B528" s="3" t="s">
        <v>223</v>
      </c>
      <c r="CG528" s="179"/>
      <c r="CH528" s="169"/>
      <c r="CI528" s="177"/>
      <c r="CJ528" s="177"/>
      <c r="CK528" s="177"/>
      <c r="CL528" s="177"/>
      <c r="CM528" s="177"/>
      <c r="CN528" s="177"/>
      <c r="CO528" s="177"/>
      <c r="CP528" s="177"/>
      <c r="CQ528" s="177"/>
      <c r="CR528" s="177"/>
      <c r="CS528" s="177"/>
      <c r="CT528" s="177"/>
      <c r="CU528" s="177"/>
      <c r="CV528" s="172"/>
      <c r="CW528" s="172"/>
      <c r="CX528" s="172"/>
      <c r="CY528" s="172"/>
      <c r="CZ528" s="172"/>
      <c r="DA528" s="196"/>
      <c r="DC528" s="169"/>
      <c r="DD528" s="177"/>
      <c r="DE528" s="177"/>
      <c r="DF528" s="177"/>
      <c r="DG528" s="177"/>
      <c r="DH528" s="177"/>
      <c r="DI528" s="177"/>
      <c r="DJ528" s="177"/>
      <c r="DK528" s="177"/>
      <c r="DL528" s="177"/>
      <c r="DM528" s="177"/>
      <c r="DN528" s="177"/>
      <c r="DO528" s="177"/>
      <c r="DP528" s="177"/>
      <c r="DQ528" s="172"/>
      <c r="DR528" s="172"/>
      <c r="DS528" s="172"/>
      <c r="DT528" s="172"/>
      <c r="DU528" s="172"/>
      <c r="DV528" s="196"/>
    </row>
    <row r="529" spans="1:126" x14ac:dyDescent="0.2">
      <c r="A529" s="3">
        <v>110</v>
      </c>
      <c r="B529" s="3" t="s">
        <v>224</v>
      </c>
      <c r="CG529" s="179"/>
      <c r="CH529" s="169"/>
      <c r="CI529" s="177"/>
      <c r="CJ529" s="177"/>
      <c r="CK529" s="177"/>
      <c r="CL529" s="177"/>
      <c r="CM529" s="177"/>
      <c r="CN529" s="177"/>
      <c r="CO529" s="177"/>
      <c r="CP529" s="177"/>
      <c r="CQ529" s="177"/>
      <c r="CR529" s="177"/>
      <c r="CS529" s="177"/>
      <c r="CT529" s="177"/>
      <c r="CU529" s="177"/>
      <c r="CV529" s="172"/>
      <c r="CW529" s="172"/>
      <c r="CX529" s="172"/>
      <c r="CY529" s="172"/>
      <c r="CZ529" s="172"/>
      <c r="DA529" s="196"/>
      <c r="DC529" s="169"/>
      <c r="DD529" s="177"/>
      <c r="DE529" s="177"/>
      <c r="DF529" s="177"/>
      <c r="DG529" s="177"/>
      <c r="DH529" s="177"/>
      <c r="DI529" s="177"/>
      <c r="DJ529" s="177"/>
      <c r="DK529" s="177"/>
      <c r="DL529" s="177"/>
      <c r="DM529" s="177"/>
      <c r="DN529" s="177"/>
      <c r="DO529" s="177"/>
      <c r="DP529" s="177"/>
      <c r="DQ529" s="172"/>
      <c r="DR529" s="172"/>
      <c r="DS529" s="172"/>
      <c r="DT529" s="172"/>
      <c r="DU529" s="172"/>
      <c r="DV529" s="196"/>
    </row>
    <row r="530" spans="1:126" x14ac:dyDescent="0.2">
      <c r="A530" s="3">
        <v>111</v>
      </c>
      <c r="B530" s="3" t="s">
        <v>225</v>
      </c>
      <c r="CG530" s="179"/>
      <c r="CH530" s="169"/>
      <c r="CI530" s="177"/>
      <c r="CJ530" s="177"/>
      <c r="CK530" s="177"/>
      <c r="CL530" s="177"/>
      <c r="CM530" s="177"/>
      <c r="CN530" s="177"/>
      <c r="CO530" s="177"/>
      <c r="CP530" s="177"/>
      <c r="CQ530" s="177"/>
      <c r="CR530" s="177"/>
      <c r="CS530" s="177"/>
      <c r="CT530" s="177"/>
      <c r="CU530" s="177"/>
      <c r="CV530" s="172"/>
      <c r="CW530" s="172"/>
      <c r="CX530" s="172"/>
      <c r="CY530" s="172"/>
      <c r="CZ530" s="172"/>
      <c r="DA530" s="196"/>
      <c r="DC530" s="169"/>
      <c r="DD530" s="177"/>
      <c r="DE530" s="177"/>
      <c r="DF530" s="177"/>
      <c r="DG530" s="177"/>
      <c r="DH530" s="177"/>
      <c r="DI530" s="177"/>
      <c r="DJ530" s="177"/>
      <c r="DK530" s="177"/>
      <c r="DL530" s="177"/>
      <c r="DM530" s="177"/>
      <c r="DN530" s="177"/>
      <c r="DO530" s="177"/>
      <c r="DP530" s="177"/>
      <c r="DQ530" s="172"/>
      <c r="DR530" s="172"/>
      <c r="DS530" s="172"/>
      <c r="DT530" s="172"/>
      <c r="DU530" s="172"/>
      <c r="DV530" s="196"/>
    </row>
    <row r="531" spans="1:126" x14ac:dyDescent="0.2">
      <c r="A531" s="3">
        <v>112</v>
      </c>
      <c r="B531" s="3" t="s">
        <v>226</v>
      </c>
      <c r="CG531" s="179"/>
      <c r="CH531" s="169"/>
      <c r="CI531" s="177"/>
      <c r="CJ531" s="177"/>
      <c r="CK531" s="177"/>
      <c r="CL531" s="177"/>
      <c r="CM531" s="177"/>
      <c r="CN531" s="177"/>
      <c r="CO531" s="177"/>
      <c r="CP531" s="177"/>
      <c r="CQ531" s="177"/>
      <c r="CR531" s="177"/>
      <c r="CS531" s="177"/>
      <c r="CT531" s="177"/>
      <c r="CU531" s="177"/>
      <c r="CV531" s="172"/>
      <c r="CW531" s="172"/>
      <c r="CX531" s="172"/>
      <c r="CY531" s="172"/>
      <c r="CZ531" s="172"/>
      <c r="DA531" s="196"/>
      <c r="DC531" s="169"/>
      <c r="DD531" s="177"/>
      <c r="DE531" s="177"/>
      <c r="DF531" s="177"/>
      <c r="DG531" s="177"/>
      <c r="DH531" s="177"/>
      <c r="DI531" s="177"/>
      <c r="DJ531" s="177"/>
      <c r="DK531" s="177"/>
      <c r="DL531" s="177"/>
      <c r="DM531" s="177"/>
      <c r="DN531" s="177"/>
      <c r="DO531" s="177"/>
      <c r="DP531" s="177"/>
      <c r="DQ531" s="172"/>
      <c r="DR531" s="172"/>
      <c r="DS531" s="172"/>
      <c r="DT531" s="172"/>
      <c r="DU531" s="172"/>
      <c r="DV531" s="196"/>
    </row>
    <row r="532" spans="1:126" x14ac:dyDescent="0.2">
      <c r="A532" s="3">
        <v>113</v>
      </c>
      <c r="B532" s="3" t="s">
        <v>227</v>
      </c>
      <c r="CG532" s="179"/>
      <c r="CH532" s="169"/>
      <c r="CI532" s="177"/>
      <c r="CJ532" s="177"/>
      <c r="CK532" s="177"/>
      <c r="CL532" s="177"/>
      <c r="CM532" s="177"/>
      <c r="CN532" s="177"/>
      <c r="CO532" s="177"/>
      <c r="CP532" s="177"/>
      <c r="CQ532" s="177"/>
      <c r="CR532" s="177"/>
      <c r="CS532" s="177"/>
      <c r="CT532" s="177"/>
      <c r="CU532" s="177"/>
      <c r="CV532" s="172"/>
      <c r="CW532" s="172"/>
      <c r="CX532" s="172"/>
      <c r="CY532" s="172"/>
      <c r="CZ532" s="172"/>
      <c r="DA532" s="196"/>
      <c r="DC532" s="169"/>
      <c r="DD532" s="177"/>
      <c r="DE532" s="177"/>
      <c r="DF532" s="177"/>
      <c r="DG532" s="177"/>
      <c r="DH532" s="177"/>
      <c r="DI532" s="177"/>
      <c r="DJ532" s="177"/>
      <c r="DK532" s="177"/>
      <c r="DL532" s="177"/>
      <c r="DM532" s="177"/>
      <c r="DN532" s="177"/>
      <c r="DO532" s="177"/>
      <c r="DP532" s="177"/>
      <c r="DQ532" s="172"/>
      <c r="DR532" s="172"/>
      <c r="DS532" s="172"/>
      <c r="DT532" s="172"/>
      <c r="DU532" s="172"/>
      <c r="DV532" s="196"/>
    </row>
    <row r="533" spans="1:126" x14ac:dyDescent="0.2">
      <c r="A533" s="3">
        <v>114</v>
      </c>
      <c r="B533" s="3" t="s">
        <v>228</v>
      </c>
      <c r="CG533" s="179"/>
      <c r="CH533" s="197"/>
      <c r="CI533" s="180"/>
      <c r="CJ533" s="180"/>
      <c r="CK533" s="180"/>
      <c r="CL533" s="180"/>
      <c r="CM533" s="180"/>
      <c r="CN533" s="180"/>
      <c r="CO533" s="180"/>
      <c r="CP533" s="180"/>
      <c r="CQ533" s="180"/>
      <c r="CR533" s="180"/>
      <c r="CS533" s="180"/>
      <c r="CT533" s="180"/>
      <c r="CU533" s="180"/>
      <c r="CV533" s="173"/>
      <c r="CW533" s="173"/>
      <c r="CX533" s="173"/>
      <c r="CY533" s="173"/>
      <c r="CZ533" s="173"/>
      <c r="DA533" s="198"/>
      <c r="DC533" s="197"/>
      <c r="DD533" s="180"/>
      <c r="DE533" s="180"/>
      <c r="DF533" s="180"/>
      <c r="DG533" s="180"/>
      <c r="DH533" s="180"/>
      <c r="DI533" s="180"/>
      <c r="DJ533" s="180"/>
      <c r="DK533" s="180"/>
      <c r="DL533" s="180"/>
      <c r="DM533" s="180"/>
      <c r="DN533" s="180"/>
      <c r="DO533" s="180"/>
      <c r="DP533" s="180"/>
      <c r="DQ533" s="173"/>
      <c r="DR533" s="173"/>
      <c r="DS533" s="173"/>
      <c r="DT533" s="173"/>
      <c r="DU533" s="173"/>
      <c r="DV533" s="198"/>
    </row>
    <row r="534" spans="1:126" x14ac:dyDescent="0.2">
      <c r="A534" s="3">
        <v>115</v>
      </c>
      <c r="B534" s="3" t="s">
        <v>229</v>
      </c>
      <c r="CG534" s="179"/>
      <c r="CH534" s="197"/>
      <c r="CI534" s="180"/>
      <c r="CJ534" s="180"/>
      <c r="CK534" s="180"/>
      <c r="CL534" s="180"/>
      <c r="CM534" s="180"/>
      <c r="CN534" s="180"/>
      <c r="CO534" s="180"/>
      <c r="CP534" s="180"/>
      <c r="CQ534" s="180"/>
      <c r="CR534" s="180"/>
      <c r="CS534" s="180"/>
      <c r="CT534" s="180"/>
      <c r="CU534" s="180"/>
      <c r="CV534" s="173"/>
      <c r="CW534" s="173"/>
      <c r="CX534" s="173"/>
      <c r="CY534" s="173"/>
      <c r="CZ534" s="173"/>
      <c r="DA534" s="198"/>
      <c r="DC534" s="197"/>
      <c r="DD534" s="180"/>
      <c r="DE534" s="180"/>
      <c r="DF534" s="180"/>
      <c r="DG534" s="180"/>
      <c r="DH534" s="180"/>
      <c r="DI534" s="180"/>
      <c r="DJ534" s="180"/>
      <c r="DK534" s="180"/>
      <c r="DL534" s="180"/>
      <c r="DM534" s="180"/>
      <c r="DN534" s="180"/>
      <c r="DO534" s="180"/>
      <c r="DP534" s="180"/>
      <c r="DQ534" s="173"/>
      <c r="DR534" s="173"/>
      <c r="DS534" s="173"/>
      <c r="DT534" s="173"/>
      <c r="DU534" s="173"/>
      <c r="DV534" s="198"/>
    </row>
    <row r="535" spans="1:126" x14ac:dyDescent="0.2">
      <c r="A535" s="3">
        <v>116</v>
      </c>
      <c r="B535" s="3" t="s">
        <v>230</v>
      </c>
      <c r="CG535" s="179"/>
      <c r="CH535" s="197"/>
      <c r="CI535" s="180"/>
      <c r="CJ535" s="180"/>
      <c r="CK535" s="180"/>
      <c r="CL535" s="180"/>
      <c r="CM535" s="180"/>
      <c r="CN535" s="180"/>
      <c r="CO535" s="180"/>
      <c r="CP535" s="180"/>
      <c r="CQ535" s="180"/>
      <c r="CR535" s="180"/>
      <c r="CS535" s="180"/>
      <c r="CT535" s="180"/>
      <c r="CU535" s="180"/>
      <c r="CV535" s="173"/>
      <c r="CW535" s="173"/>
      <c r="CX535" s="173"/>
      <c r="CY535" s="173"/>
      <c r="CZ535" s="173"/>
      <c r="DA535" s="198"/>
      <c r="DC535" s="197"/>
      <c r="DD535" s="180"/>
      <c r="DE535" s="180"/>
      <c r="DF535" s="180"/>
      <c r="DG535" s="180"/>
      <c r="DH535" s="180"/>
      <c r="DI535" s="180"/>
      <c r="DJ535" s="180"/>
      <c r="DK535" s="180"/>
      <c r="DL535" s="180"/>
      <c r="DM535" s="180"/>
      <c r="DN535" s="180"/>
      <c r="DO535" s="180"/>
      <c r="DP535" s="180"/>
      <c r="DQ535" s="173"/>
      <c r="DR535" s="173"/>
      <c r="DS535" s="173"/>
      <c r="DT535" s="173"/>
      <c r="DU535" s="173"/>
      <c r="DV535" s="198"/>
    </row>
    <row r="536" spans="1:126" x14ac:dyDescent="0.2">
      <c r="A536" s="3">
        <v>117</v>
      </c>
      <c r="B536" s="3" t="s">
        <v>231</v>
      </c>
      <c r="CG536" s="179"/>
      <c r="CH536" s="197"/>
      <c r="CI536" s="180"/>
      <c r="CJ536" s="180"/>
      <c r="CK536" s="180"/>
      <c r="CL536" s="180"/>
      <c r="CM536" s="180"/>
      <c r="CN536" s="180"/>
      <c r="CO536" s="180"/>
      <c r="CP536" s="180"/>
      <c r="CQ536" s="180"/>
      <c r="CR536" s="180"/>
      <c r="CS536" s="180"/>
      <c r="CT536" s="180"/>
      <c r="CU536" s="180"/>
      <c r="CV536" s="173"/>
      <c r="CW536" s="173"/>
      <c r="CX536" s="173"/>
      <c r="CY536" s="173"/>
      <c r="CZ536" s="173"/>
      <c r="DA536" s="198"/>
      <c r="DC536" s="197"/>
      <c r="DD536" s="180"/>
      <c r="DE536" s="180"/>
      <c r="DF536" s="180"/>
      <c r="DG536" s="180"/>
      <c r="DH536" s="180"/>
      <c r="DI536" s="180"/>
      <c r="DJ536" s="180"/>
      <c r="DK536" s="180"/>
      <c r="DL536" s="180"/>
      <c r="DM536" s="180"/>
      <c r="DN536" s="180"/>
      <c r="DO536" s="180"/>
      <c r="DP536" s="180"/>
      <c r="DQ536" s="173"/>
      <c r="DR536" s="173"/>
      <c r="DS536" s="173"/>
      <c r="DT536" s="173"/>
      <c r="DU536" s="173"/>
      <c r="DV536" s="198"/>
    </row>
    <row r="537" spans="1:126" x14ac:dyDescent="0.2">
      <c r="A537" s="3">
        <v>118</v>
      </c>
      <c r="B537" s="3" t="s">
        <v>232</v>
      </c>
      <c r="CG537" s="179"/>
      <c r="CH537" s="197"/>
      <c r="CI537" s="180"/>
      <c r="CJ537" s="180"/>
      <c r="CK537" s="180"/>
      <c r="CL537" s="180"/>
      <c r="CM537" s="180"/>
      <c r="CN537" s="180"/>
      <c r="CO537" s="180"/>
      <c r="CP537" s="180"/>
      <c r="CQ537" s="180"/>
      <c r="CR537" s="180"/>
      <c r="CS537" s="180"/>
      <c r="CT537" s="180"/>
      <c r="CU537" s="180"/>
      <c r="CV537" s="173"/>
      <c r="CW537" s="173"/>
      <c r="CX537" s="173"/>
      <c r="CY537" s="173"/>
      <c r="CZ537" s="173"/>
      <c r="DA537" s="198"/>
      <c r="DC537" s="197"/>
      <c r="DD537" s="180"/>
      <c r="DE537" s="180"/>
      <c r="DF537" s="180"/>
      <c r="DG537" s="180"/>
      <c r="DH537" s="180"/>
      <c r="DI537" s="180"/>
      <c r="DJ537" s="180"/>
      <c r="DK537" s="180"/>
      <c r="DL537" s="180"/>
      <c r="DM537" s="180"/>
      <c r="DN537" s="180"/>
      <c r="DO537" s="180"/>
      <c r="DP537" s="180"/>
      <c r="DQ537" s="173"/>
      <c r="DR537" s="173"/>
      <c r="DS537" s="173"/>
      <c r="DT537" s="173"/>
      <c r="DU537" s="173"/>
      <c r="DV537" s="198"/>
    </row>
    <row r="538" spans="1:126" x14ac:dyDescent="0.2">
      <c r="A538" s="3">
        <v>119</v>
      </c>
      <c r="B538" s="3" t="s">
        <v>233</v>
      </c>
      <c r="CG538" s="176"/>
      <c r="CH538" s="197"/>
      <c r="CI538" s="180"/>
      <c r="CJ538" s="180"/>
      <c r="CK538" s="180"/>
      <c r="CL538" s="180"/>
      <c r="CM538" s="180"/>
      <c r="CN538" s="180"/>
      <c r="CO538" s="180"/>
      <c r="CP538" s="180"/>
      <c r="CQ538" s="180"/>
      <c r="CR538" s="180"/>
      <c r="CS538" s="180"/>
      <c r="CT538" s="180"/>
      <c r="CU538" s="180"/>
      <c r="CV538" s="173"/>
      <c r="CW538" s="173"/>
      <c r="CX538" s="173"/>
      <c r="CY538" s="173"/>
      <c r="CZ538" s="173"/>
      <c r="DA538" s="198"/>
      <c r="DC538" s="197"/>
      <c r="DD538" s="180"/>
      <c r="DE538" s="180"/>
      <c r="DF538" s="180"/>
      <c r="DG538" s="180"/>
      <c r="DH538" s="180"/>
      <c r="DI538" s="180"/>
      <c r="DJ538" s="180"/>
      <c r="DK538" s="180"/>
      <c r="DL538" s="180"/>
      <c r="DM538" s="180"/>
      <c r="DN538" s="180"/>
      <c r="DO538" s="180"/>
      <c r="DP538" s="180"/>
      <c r="DQ538" s="173"/>
      <c r="DR538" s="173"/>
      <c r="DS538" s="173"/>
      <c r="DT538" s="173"/>
      <c r="DU538" s="173"/>
      <c r="DV538" s="198"/>
    </row>
    <row r="539" spans="1:126" x14ac:dyDescent="0.2">
      <c r="A539" s="3">
        <v>120</v>
      </c>
      <c r="B539" s="3" t="s">
        <v>234</v>
      </c>
      <c r="CG539" s="176"/>
      <c r="CH539" s="197"/>
      <c r="CI539" s="180"/>
      <c r="CJ539" s="180"/>
      <c r="CK539" s="180"/>
      <c r="CL539" s="180"/>
      <c r="CM539" s="180"/>
      <c r="CN539" s="180"/>
      <c r="CO539" s="180"/>
      <c r="CP539" s="180"/>
      <c r="CQ539" s="180"/>
      <c r="CR539" s="180"/>
      <c r="CS539" s="180"/>
      <c r="CT539" s="180"/>
      <c r="CU539" s="180"/>
      <c r="CV539" s="173"/>
      <c r="CW539" s="173"/>
      <c r="CX539" s="173"/>
      <c r="CY539" s="173"/>
      <c r="CZ539" s="173"/>
      <c r="DA539" s="198"/>
      <c r="DC539" s="197"/>
      <c r="DD539" s="180"/>
      <c r="DE539" s="180"/>
      <c r="DF539" s="180"/>
      <c r="DG539" s="180"/>
      <c r="DH539" s="180"/>
      <c r="DI539" s="180"/>
      <c r="DJ539" s="180"/>
      <c r="DK539" s="180"/>
      <c r="DL539" s="180"/>
      <c r="DM539" s="180"/>
      <c r="DN539" s="180"/>
      <c r="DO539" s="180"/>
      <c r="DP539" s="180"/>
      <c r="DQ539" s="173"/>
      <c r="DR539" s="173"/>
      <c r="DS539" s="173"/>
      <c r="DT539" s="173"/>
      <c r="DU539" s="173"/>
      <c r="DV539" s="198"/>
    </row>
    <row r="540" spans="1:126" x14ac:dyDescent="0.2">
      <c r="A540" s="3">
        <v>121</v>
      </c>
      <c r="B540" s="3" t="s">
        <v>235</v>
      </c>
      <c r="CG540" s="176"/>
      <c r="CH540" s="199"/>
      <c r="CI540" s="200"/>
      <c r="CJ540" s="200"/>
      <c r="CK540" s="200"/>
      <c r="CL540" s="200"/>
      <c r="CM540" s="200"/>
      <c r="CN540" s="200"/>
      <c r="CO540" s="200"/>
      <c r="CP540" s="200"/>
      <c r="CQ540" s="201"/>
      <c r="CR540" s="202"/>
      <c r="CS540" s="200"/>
      <c r="CT540" s="200"/>
      <c r="CU540" s="200"/>
      <c r="CV540" s="203"/>
      <c r="CW540" s="203"/>
      <c r="CX540" s="203"/>
      <c r="CY540" s="203"/>
      <c r="CZ540" s="203"/>
      <c r="DA540" s="204"/>
      <c r="DC540" s="199"/>
      <c r="DD540" s="200"/>
      <c r="DE540" s="200"/>
      <c r="DF540" s="200"/>
      <c r="DG540" s="200"/>
      <c r="DH540" s="200"/>
      <c r="DI540" s="200"/>
      <c r="DJ540" s="200"/>
      <c r="DK540" s="200"/>
      <c r="DL540" s="200"/>
      <c r="DM540" s="200"/>
      <c r="DN540" s="200"/>
      <c r="DO540" s="200"/>
      <c r="DP540" s="200"/>
      <c r="DQ540" s="203"/>
      <c r="DR540" s="203"/>
      <c r="DS540" s="203"/>
      <c r="DT540" s="203"/>
      <c r="DU540" s="203"/>
      <c r="DV540" s="204"/>
    </row>
    <row r="541" spans="1:126" x14ac:dyDescent="0.2">
      <c r="A541" s="3">
        <v>122</v>
      </c>
      <c r="B541" s="3" t="s">
        <v>236</v>
      </c>
      <c r="CG541" s="176">
        <v>28</v>
      </c>
      <c r="CH541" s="192"/>
      <c r="CI541" s="193"/>
      <c r="CJ541" s="193"/>
      <c r="CK541" s="193"/>
      <c r="CL541" s="193"/>
      <c r="CM541" s="193"/>
      <c r="CN541" s="193"/>
      <c r="CO541" s="193"/>
      <c r="CP541" s="193"/>
      <c r="CQ541" s="193"/>
      <c r="CR541" s="193"/>
      <c r="CS541" s="193"/>
      <c r="CT541" s="193"/>
      <c r="CU541" s="193"/>
      <c r="CV541" s="194"/>
      <c r="CW541" s="194"/>
      <c r="CX541" s="194"/>
      <c r="CY541" s="194"/>
      <c r="CZ541" s="194"/>
      <c r="DA541" s="195"/>
      <c r="DC541" s="192"/>
      <c r="DD541" s="193"/>
      <c r="DE541" s="193"/>
      <c r="DF541" s="193"/>
      <c r="DG541" s="193"/>
      <c r="DH541" s="193"/>
      <c r="DI541" s="193"/>
      <c r="DJ541" s="193"/>
      <c r="DK541" s="193"/>
      <c r="DL541" s="193"/>
      <c r="DM541" s="193"/>
      <c r="DN541" s="193"/>
      <c r="DO541" s="193"/>
      <c r="DP541" s="193"/>
      <c r="DQ541" s="194"/>
      <c r="DR541" s="194"/>
      <c r="DS541" s="194"/>
      <c r="DT541" s="194"/>
      <c r="DU541" s="194"/>
      <c r="DV541" s="195"/>
    </row>
    <row r="542" spans="1:126" x14ac:dyDescent="0.2">
      <c r="A542" s="3">
        <v>123</v>
      </c>
      <c r="B542" s="3" t="s">
        <v>237</v>
      </c>
      <c r="CG542" s="176"/>
      <c r="CH542" s="169"/>
      <c r="CI542" s="177"/>
      <c r="CJ542" s="177"/>
      <c r="CK542" s="177"/>
      <c r="CL542" s="177"/>
      <c r="CM542" s="177"/>
      <c r="CN542" s="177"/>
      <c r="CO542" s="177"/>
      <c r="CP542" s="177"/>
      <c r="CQ542" s="177"/>
      <c r="CR542" s="177"/>
      <c r="CS542" s="177"/>
      <c r="CT542" s="177"/>
      <c r="CU542" s="177"/>
      <c r="CV542" s="172"/>
      <c r="CW542" s="172"/>
      <c r="CX542" s="172"/>
      <c r="CY542" s="172"/>
      <c r="CZ542" s="172"/>
      <c r="DA542" s="196"/>
      <c r="DC542" s="169"/>
      <c r="DD542" s="177"/>
      <c r="DE542" s="177"/>
      <c r="DF542" s="177"/>
      <c r="DG542" s="177"/>
      <c r="DH542" s="177"/>
      <c r="DI542" s="177"/>
      <c r="DJ542" s="177"/>
      <c r="DK542" s="177"/>
      <c r="DL542" s="177"/>
      <c r="DM542" s="177"/>
      <c r="DN542" s="177"/>
      <c r="DO542" s="177"/>
      <c r="DP542" s="177"/>
      <c r="DQ542" s="172"/>
      <c r="DR542" s="172"/>
      <c r="DS542" s="172"/>
      <c r="DT542" s="172"/>
      <c r="DU542" s="172"/>
      <c r="DV542" s="196"/>
    </row>
    <row r="543" spans="1:126" x14ac:dyDescent="0.2">
      <c r="A543" s="3">
        <v>124</v>
      </c>
      <c r="B543" s="3" t="s">
        <v>238</v>
      </c>
      <c r="CG543" s="131"/>
      <c r="CH543" s="169"/>
      <c r="CI543" s="177"/>
      <c r="CJ543" s="177"/>
      <c r="CK543" s="177"/>
      <c r="CL543" s="177"/>
      <c r="CM543" s="177"/>
      <c r="CN543" s="177"/>
      <c r="CO543" s="177"/>
      <c r="CP543" s="177"/>
      <c r="CQ543" s="177"/>
      <c r="CR543" s="177"/>
      <c r="CS543" s="177"/>
      <c r="CT543" s="177"/>
      <c r="CU543" s="177"/>
      <c r="CV543" s="172"/>
      <c r="CW543" s="172"/>
      <c r="CX543" s="172"/>
      <c r="CY543" s="172"/>
      <c r="CZ543" s="172"/>
      <c r="DA543" s="196"/>
      <c r="DC543" s="169"/>
      <c r="DD543" s="177"/>
      <c r="DE543" s="177"/>
      <c r="DF543" s="177"/>
      <c r="DG543" s="177"/>
      <c r="DH543" s="177"/>
      <c r="DI543" s="177"/>
      <c r="DJ543" s="177"/>
      <c r="DK543" s="177"/>
      <c r="DL543" s="177"/>
      <c r="DM543" s="177"/>
      <c r="DN543" s="177"/>
      <c r="DO543" s="177"/>
      <c r="DP543" s="177"/>
      <c r="DQ543" s="172"/>
      <c r="DR543" s="172"/>
      <c r="DS543" s="172"/>
      <c r="DT543" s="172"/>
      <c r="DU543" s="172"/>
      <c r="DV543" s="196"/>
    </row>
    <row r="544" spans="1:126" x14ac:dyDescent="0.2">
      <c r="A544" s="3">
        <v>125</v>
      </c>
      <c r="B544" s="3" t="s">
        <v>239</v>
      </c>
      <c r="CG544" s="176"/>
      <c r="CH544" s="169"/>
      <c r="CI544" s="177"/>
      <c r="CJ544" s="177"/>
      <c r="CK544" s="177"/>
      <c r="CL544" s="177"/>
      <c r="CM544" s="177"/>
      <c r="CN544" s="177"/>
      <c r="CO544" s="177"/>
      <c r="CP544" s="177"/>
      <c r="CQ544" s="177"/>
      <c r="CR544" s="177"/>
      <c r="CS544" s="177"/>
      <c r="CT544" s="177"/>
      <c r="CU544" s="177"/>
      <c r="CV544" s="172"/>
      <c r="CW544" s="172"/>
      <c r="CX544" s="172"/>
      <c r="CY544" s="172"/>
      <c r="CZ544" s="172"/>
      <c r="DA544" s="196"/>
      <c r="DC544" s="169"/>
      <c r="DD544" s="177"/>
      <c r="DE544" s="177"/>
      <c r="DF544" s="177"/>
      <c r="DG544" s="177"/>
      <c r="DH544" s="177"/>
      <c r="DI544" s="177"/>
      <c r="DJ544" s="177"/>
      <c r="DK544" s="177"/>
      <c r="DL544" s="177"/>
      <c r="DM544" s="177"/>
      <c r="DN544" s="177"/>
      <c r="DO544" s="177"/>
      <c r="DP544" s="177"/>
      <c r="DQ544" s="172"/>
      <c r="DR544" s="172"/>
      <c r="DS544" s="172"/>
      <c r="DT544" s="172"/>
      <c r="DU544" s="172"/>
      <c r="DV544" s="196"/>
    </row>
    <row r="545" spans="1:126" x14ac:dyDescent="0.2">
      <c r="A545" s="3">
        <v>126</v>
      </c>
      <c r="B545" s="3" t="s">
        <v>240</v>
      </c>
      <c r="CG545" s="178"/>
      <c r="CH545" s="169"/>
      <c r="CI545" s="177"/>
      <c r="CJ545" s="177"/>
      <c r="CK545" s="177"/>
      <c r="CL545" s="177"/>
      <c r="CM545" s="177"/>
      <c r="CN545" s="177"/>
      <c r="CO545" s="177"/>
      <c r="CP545" s="177"/>
      <c r="CQ545" s="177"/>
      <c r="CR545" s="177"/>
      <c r="CS545" s="177"/>
      <c r="CT545" s="177"/>
      <c r="CU545" s="177"/>
      <c r="CV545" s="172"/>
      <c r="CW545" s="172"/>
      <c r="CX545" s="172"/>
      <c r="CY545" s="172"/>
      <c r="CZ545" s="172"/>
      <c r="DA545" s="196"/>
      <c r="DC545" s="169"/>
      <c r="DD545" s="177"/>
      <c r="DE545" s="177"/>
      <c r="DF545" s="177"/>
      <c r="DG545" s="177"/>
      <c r="DH545" s="177"/>
      <c r="DI545" s="177"/>
      <c r="DJ545" s="177"/>
      <c r="DK545" s="177"/>
      <c r="DL545" s="177"/>
      <c r="DM545" s="177"/>
      <c r="DN545" s="177"/>
      <c r="DO545" s="177"/>
      <c r="DP545" s="177"/>
      <c r="DQ545" s="172"/>
      <c r="DR545" s="172"/>
      <c r="DS545" s="172"/>
      <c r="DT545" s="172"/>
      <c r="DU545" s="172"/>
      <c r="DV545" s="196"/>
    </row>
    <row r="546" spans="1:126" x14ac:dyDescent="0.2">
      <c r="A546" s="3">
        <v>127</v>
      </c>
      <c r="B546" s="3" t="s">
        <v>241</v>
      </c>
      <c r="CG546" s="179"/>
      <c r="CH546" s="169"/>
      <c r="CI546" s="177"/>
      <c r="CJ546" s="177"/>
      <c r="CK546" s="177"/>
      <c r="CL546" s="177"/>
      <c r="CM546" s="177"/>
      <c r="CN546" s="177"/>
      <c r="CO546" s="177"/>
      <c r="CP546" s="177"/>
      <c r="CQ546" s="177"/>
      <c r="CR546" s="177"/>
      <c r="CS546" s="177"/>
      <c r="CT546" s="177"/>
      <c r="CU546" s="177"/>
      <c r="CV546" s="172"/>
      <c r="CW546" s="172"/>
      <c r="CX546" s="172"/>
      <c r="CY546" s="172"/>
      <c r="CZ546" s="172"/>
      <c r="DA546" s="196"/>
      <c r="DC546" s="169"/>
      <c r="DD546" s="177"/>
      <c r="DE546" s="177"/>
      <c r="DF546" s="177"/>
      <c r="DG546" s="177"/>
      <c r="DH546" s="177"/>
      <c r="DI546" s="177"/>
      <c r="DJ546" s="177"/>
      <c r="DK546" s="177"/>
      <c r="DL546" s="177"/>
      <c r="DM546" s="177"/>
      <c r="DN546" s="177"/>
      <c r="DO546" s="177"/>
      <c r="DP546" s="177"/>
      <c r="DQ546" s="172"/>
      <c r="DR546" s="172"/>
      <c r="DS546" s="172"/>
      <c r="DT546" s="172"/>
      <c r="DU546" s="172"/>
      <c r="DV546" s="196"/>
    </row>
    <row r="547" spans="1:126" x14ac:dyDescent="0.2">
      <c r="A547" s="3">
        <v>128</v>
      </c>
      <c r="B547" s="3" t="s">
        <v>242</v>
      </c>
      <c r="CG547" s="179"/>
      <c r="CH547" s="169"/>
      <c r="CI547" s="177"/>
      <c r="CJ547" s="177"/>
      <c r="CK547" s="177"/>
      <c r="CL547" s="177"/>
      <c r="CM547" s="177"/>
      <c r="CN547" s="177"/>
      <c r="CO547" s="177"/>
      <c r="CP547" s="177"/>
      <c r="CQ547" s="177"/>
      <c r="CR547" s="177"/>
      <c r="CS547" s="177"/>
      <c r="CT547" s="177"/>
      <c r="CU547" s="177"/>
      <c r="CV547" s="172"/>
      <c r="CW547" s="172"/>
      <c r="CX547" s="172"/>
      <c r="CY547" s="172"/>
      <c r="CZ547" s="172"/>
      <c r="DA547" s="196"/>
      <c r="DC547" s="169"/>
      <c r="DD547" s="177"/>
      <c r="DE547" s="177"/>
      <c r="DF547" s="177"/>
      <c r="DG547" s="177"/>
      <c r="DH547" s="177"/>
      <c r="DI547" s="177"/>
      <c r="DJ547" s="177"/>
      <c r="DK547" s="177"/>
      <c r="DL547" s="177"/>
      <c r="DM547" s="177"/>
      <c r="DN547" s="177"/>
      <c r="DO547" s="177"/>
      <c r="DP547" s="177"/>
      <c r="DQ547" s="172"/>
      <c r="DR547" s="172"/>
      <c r="DS547" s="172"/>
      <c r="DT547" s="172"/>
      <c r="DU547" s="172"/>
      <c r="DV547" s="196"/>
    </row>
    <row r="548" spans="1:126" x14ac:dyDescent="0.2">
      <c r="A548" s="3">
        <v>129</v>
      </c>
      <c r="B548" s="3" t="s">
        <v>243</v>
      </c>
      <c r="CG548" s="179"/>
      <c r="CH548" s="169"/>
      <c r="CI548" s="177"/>
      <c r="CJ548" s="177"/>
      <c r="CK548" s="177"/>
      <c r="CL548" s="177"/>
      <c r="CM548" s="177"/>
      <c r="CN548" s="177"/>
      <c r="CO548" s="177"/>
      <c r="CP548" s="177"/>
      <c r="CQ548" s="177"/>
      <c r="CR548" s="177"/>
      <c r="CS548" s="177"/>
      <c r="CT548" s="177"/>
      <c r="CU548" s="177"/>
      <c r="CV548" s="172"/>
      <c r="CW548" s="172"/>
      <c r="CX548" s="172"/>
      <c r="CY548" s="172"/>
      <c r="CZ548" s="172"/>
      <c r="DA548" s="196"/>
      <c r="DC548" s="169"/>
      <c r="DD548" s="177"/>
      <c r="DE548" s="177"/>
      <c r="DF548" s="177"/>
      <c r="DG548" s="177"/>
      <c r="DH548" s="177"/>
      <c r="DI548" s="177"/>
      <c r="DJ548" s="177"/>
      <c r="DK548" s="177"/>
      <c r="DL548" s="177"/>
      <c r="DM548" s="177"/>
      <c r="DN548" s="177"/>
      <c r="DO548" s="177"/>
      <c r="DP548" s="177"/>
      <c r="DQ548" s="172"/>
      <c r="DR548" s="172"/>
      <c r="DS548" s="172"/>
      <c r="DT548" s="172"/>
      <c r="DU548" s="172"/>
      <c r="DV548" s="196"/>
    </row>
    <row r="549" spans="1:126" x14ac:dyDescent="0.2">
      <c r="A549" s="3">
        <v>130</v>
      </c>
      <c r="B549" s="3" t="s">
        <v>244</v>
      </c>
      <c r="CG549" s="179"/>
      <c r="CH549" s="169"/>
      <c r="CI549" s="177"/>
      <c r="CJ549" s="177"/>
      <c r="CK549" s="177"/>
      <c r="CL549" s="177"/>
      <c r="CM549" s="177"/>
      <c r="CN549" s="177"/>
      <c r="CO549" s="177"/>
      <c r="CP549" s="177"/>
      <c r="CQ549" s="177"/>
      <c r="CR549" s="177"/>
      <c r="CS549" s="177"/>
      <c r="CT549" s="177"/>
      <c r="CU549" s="177"/>
      <c r="CV549" s="172"/>
      <c r="CW549" s="172"/>
      <c r="CX549" s="172"/>
      <c r="CY549" s="172"/>
      <c r="CZ549" s="172"/>
      <c r="DA549" s="196"/>
      <c r="DC549" s="169"/>
      <c r="DD549" s="177"/>
      <c r="DE549" s="177"/>
      <c r="DF549" s="177"/>
      <c r="DG549" s="177"/>
      <c r="DH549" s="177"/>
      <c r="DI549" s="177"/>
      <c r="DJ549" s="177"/>
      <c r="DK549" s="177"/>
      <c r="DL549" s="177"/>
      <c r="DM549" s="177"/>
      <c r="DN549" s="177"/>
      <c r="DO549" s="177"/>
      <c r="DP549" s="177"/>
      <c r="DQ549" s="172"/>
      <c r="DR549" s="172"/>
      <c r="DS549" s="172"/>
      <c r="DT549" s="172"/>
      <c r="DU549" s="172"/>
      <c r="DV549" s="196"/>
    </row>
    <row r="550" spans="1:126" x14ac:dyDescent="0.2">
      <c r="A550" s="3">
        <v>131</v>
      </c>
      <c r="B550" s="3" t="s">
        <v>245</v>
      </c>
      <c r="CG550" s="179"/>
      <c r="CH550" s="169"/>
      <c r="CI550" s="177"/>
      <c r="CJ550" s="177"/>
      <c r="CK550" s="177"/>
      <c r="CL550" s="177"/>
      <c r="CM550" s="177"/>
      <c r="CN550" s="177"/>
      <c r="CO550" s="177"/>
      <c r="CP550" s="177"/>
      <c r="CQ550" s="177"/>
      <c r="CR550" s="177"/>
      <c r="CS550" s="177"/>
      <c r="CT550" s="177"/>
      <c r="CU550" s="177"/>
      <c r="CV550" s="172"/>
      <c r="CW550" s="172"/>
      <c r="CX550" s="172"/>
      <c r="CY550" s="172"/>
      <c r="CZ550" s="172"/>
      <c r="DA550" s="196"/>
      <c r="DC550" s="169"/>
      <c r="DD550" s="177"/>
      <c r="DE550" s="177"/>
      <c r="DF550" s="177"/>
      <c r="DG550" s="177"/>
      <c r="DH550" s="177"/>
      <c r="DI550" s="177"/>
      <c r="DJ550" s="177"/>
      <c r="DK550" s="177"/>
      <c r="DL550" s="177"/>
      <c r="DM550" s="177"/>
      <c r="DN550" s="177"/>
      <c r="DO550" s="177"/>
      <c r="DP550" s="177"/>
      <c r="DQ550" s="172"/>
      <c r="DR550" s="172"/>
      <c r="DS550" s="172"/>
      <c r="DT550" s="172"/>
      <c r="DU550" s="172"/>
      <c r="DV550" s="196"/>
    </row>
    <row r="551" spans="1:126" x14ac:dyDescent="0.2">
      <c r="A551" s="3">
        <v>132</v>
      </c>
      <c r="B551" s="3" t="s">
        <v>246</v>
      </c>
      <c r="CG551" s="179"/>
      <c r="CH551" s="169"/>
      <c r="CI551" s="177"/>
      <c r="CJ551" s="177"/>
      <c r="CK551" s="177"/>
      <c r="CL551" s="177"/>
      <c r="CM551" s="177"/>
      <c r="CN551" s="177"/>
      <c r="CO551" s="177"/>
      <c r="CP551" s="177"/>
      <c r="CQ551" s="177"/>
      <c r="CR551" s="177"/>
      <c r="CS551" s="177"/>
      <c r="CT551" s="177"/>
      <c r="CU551" s="177"/>
      <c r="CV551" s="172"/>
      <c r="CW551" s="172"/>
      <c r="CX551" s="172"/>
      <c r="CY551" s="172"/>
      <c r="CZ551" s="172"/>
      <c r="DA551" s="196"/>
      <c r="DC551" s="169"/>
      <c r="DD551" s="177"/>
      <c r="DE551" s="177"/>
      <c r="DF551" s="177"/>
      <c r="DG551" s="177"/>
      <c r="DH551" s="177"/>
      <c r="DI551" s="177"/>
      <c r="DJ551" s="177"/>
      <c r="DK551" s="177"/>
      <c r="DL551" s="177"/>
      <c r="DM551" s="177"/>
      <c r="DN551" s="177"/>
      <c r="DO551" s="177"/>
      <c r="DP551" s="177"/>
      <c r="DQ551" s="172"/>
      <c r="DR551" s="172"/>
      <c r="DS551" s="172"/>
      <c r="DT551" s="172"/>
      <c r="DU551" s="172"/>
      <c r="DV551" s="196"/>
    </row>
    <row r="552" spans="1:126" x14ac:dyDescent="0.2">
      <c r="A552" s="3">
        <v>133</v>
      </c>
      <c r="B552" s="3" t="s">
        <v>247</v>
      </c>
      <c r="CG552" s="179"/>
      <c r="CH552" s="169"/>
      <c r="CI552" s="177"/>
      <c r="CJ552" s="177"/>
      <c r="CK552" s="177"/>
      <c r="CL552" s="177"/>
      <c r="CM552" s="177"/>
      <c r="CN552" s="177"/>
      <c r="CO552" s="177"/>
      <c r="CP552" s="177"/>
      <c r="CQ552" s="177"/>
      <c r="CR552" s="177"/>
      <c r="CS552" s="177"/>
      <c r="CT552" s="177"/>
      <c r="CU552" s="177"/>
      <c r="CV552" s="172"/>
      <c r="CW552" s="172"/>
      <c r="CX552" s="172"/>
      <c r="CY552" s="172"/>
      <c r="CZ552" s="172"/>
      <c r="DA552" s="196"/>
      <c r="DC552" s="169"/>
      <c r="DD552" s="177"/>
      <c r="DE552" s="177"/>
      <c r="DF552" s="177"/>
      <c r="DG552" s="177"/>
      <c r="DH552" s="177"/>
      <c r="DI552" s="177"/>
      <c r="DJ552" s="177"/>
      <c r="DK552" s="177"/>
      <c r="DL552" s="177"/>
      <c r="DM552" s="177"/>
      <c r="DN552" s="177"/>
      <c r="DO552" s="177"/>
      <c r="DP552" s="177"/>
      <c r="DQ552" s="172"/>
      <c r="DR552" s="172"/>
      <c r="DS552" s="172"/>
      <c r="DT552" s="172"/>
      <c r="DU552" s="172"/>
      <c r="DV552" s="196"/>
    </row>
    <row r="553" spans="1:126" x14ac:dyDescent="0.2">
      <c r="A553" s="3">
        <v>134</v>
      </c>
      <c r="B553" s="3" t="s">
        <v>248</v>
      </c>
      <c r="CG553" s="179"/>
      <c r="CH553" s="197"/>
      <c r="CI553" s="180"/>
      <c r="CJ553" s="180"/>
      <c r="CK553" s="180"/>
      <c r="CL553" s="180"/>
      <c r="CM553" s="180"/>
      <c r="CN553" s="180"/>
      <c r="CO553" s="180"/>
      <c r="CP553" s="180"/>
      <c r="CQ553" s="180"/>
      <c r="CR553" s="180"/>
      <c r="CS553" s="180"/>
      <c r="CT553" s="180"/>
      <c r="CU553" s="180"/>
      <c r="CV553" s="173"/>
      <c r="CW553" s="173"/>
      <c r="CX553" s="173"/>
      <c r="CY553" s="173"/>
      <c r="CZ553" s="173"/>
      <c r="DA553" s="198"/>
      <c r="DC553" s="197"/>
      <c r="DD553" s="180"/>
      <c r="DE553" s="180"/>
      <c r="DF553" s="180"/>
      <c r="DG553" s="180"/>
      <c r="DH553" s="180"/>
      <c r="DI553" s="180"/>
      <c r="DJ553" s="180"/>
      <c r="DK553" s="180"/>
      <c r="DL553" s="180"/>
      <c r="DM553" s="180"/>
      <c r="DN553" s="180"/>
      <c r="DO553" s="180"/>
      <c r="DP553" s="180"/>
      <c r="DQ553" s="173"/>
      <c r="DR553" s="173"/>
      <c r="DS553" s="173"/>
      <c r="DT553" s="173"/>
      <c r="DU553" s="173"/>
      <c r="DV553" s="198"/>
    </row>
    <row r="554" spans="1:126" x14ac:dyDescent="0.2">
      <c r="A554" s="3">
        <v>135</v>
      </c>
      <c r="B554" s="3" t="s">
        <v>249</v>
      </c>
      <c r="CG554" s="179"/>
      <c r="CH554" s="197"/>
      <c r="CI554" s="180"/>
      <c r="CJ554" s="180"/>
      <c r="CK554" s="180"/>
      <c r="CL554" s="180"/>
      <c r="CM554" s="180"/>
      <c r="CN554" s="180"/>
      <c r="CO554" s="180"/>
      <c r="CP554" s="180"/>
      <c r="CQ554" s="180"/>
      <c r="CR554" s="180"/>
      <c r="CS554" s="180"/>
      <c r="CT554" s="180"/>
      <c r="CU554" s="180"/>
      <c r="CV554" s="173"/>
      <c r="CW554" s="173"/>
      <c r="CX554" s="173"/>
      <c r="CY554" s="173"/>
      <c r="CZ554" s="173"/>
      <c r="DA554" s="198"/>
      <c r="DC554" s="197"/>
      <c r="DD554" s="180"/>
      <c r="DE554" s="180"/>
      <c r="DF554" s="180"/>
      <c r="DG554" s="180"/>
      <c r="DH554" s="180"/>
      <c r="DI554" s="180"/>
      <c r="DJ554" s="180"/>
      <c r="DK554" s="180"/>
      <c r="DL554" s="180"/>
      <c r="DM554" s="180"/>
      <c r="DN554" s="180"/>
      <c r="DO554" s="180"/>
      <c r="DP554" s="180"/>
      <c r="DQ554" s="173"/>
      <c r="DR554" s="173"/>
      <c r="DS554" s="173"/>
      <c r="DT554" s="173"/>
      <c r="DU554" s="173"/>
      <c r="DV554" s="198"/>
    </row>
    <row r="555" spans="1:126" x14ac:dyDescent="0.2">
      <c r="A555" s="3">
        <v>136</v>
      </c>
      <c r="B555" s="3" t="s">
        <v>250</v>
      </c>
      <c r="CG555" s="179"/>
      <c r="CH555" s="197"/>
      <c r="CI555" s="180"/>
      <c r="CJ555" s="180"/>
      <c r="CK555" s="180"/>
      <c r="CL555" s="180"/>
      <c r="CM555" s="180"/>
      <c r="CN555" s="180"/>
      <c r="CO555" s="180"/>
      <c r="CP555" s="180"/>
      <c r="CQ555" s="180"/>
      <c r="CR555" s="180"/>
      <c r="CS555" s="180"/>
      <c r="CT555" s="180"/>
      <c r="CU555" s="180"/>
      <c r="CV555" s="173"/>
      <c r="CW555" s="173"/>
      <c r="CX555" s="173"/>
      <c r="CY555" s="173"/>
      <c r="CZ555" s="173"/>
      <c r="DA555" s="198"/>
      <c r="DC555" s="197"/>
      <c r="DD555" s="180"/>
      <c r="DE555" s="180"/>
      <c r="DF555" s="180"/>
      <c r="DG555" s="180"/>
      <c r="DH555" s="180"/>
      <c r="DI555" s="180"/>
      <c r="DJ555" s="180"/>
      <c r="DK555" s="180"/>
      <c r="DL555" s="180"/>
      <c r="DM555" s="180"/>
      <c r="DN555" s="180"/>
      <c r="DO555" s="180"/>
      <c r="DP555" s="180"/>
      <c r="DQ555" s="173"/>
      <c r="DR555" s="173"/>
      <c r="DS555" s="173"/>
      <c r="DT555" s="173"/>
      <c r="DU555" s="173"/>
      <c r="DV555" s="198"/>
    </row>
    <row r="556" spans="1:126" x14ac:dyDescent="0.2">
      <c r="A556" s="3">
        <v>137</v>
      </c>
      <c r="B556" s="3" t="s">
        <v>251</v>
      </c>
      <c r="CG556" s="179"/>
      <c r="CH556" s="197"/>
      <c r="CI556" s="180"/>
      <c r="CJ556" s="180"/>
      <c r="CK556" s="180"/>
      <c r="CL556" s="180"/>
      <c r="CM556" s="180"/>
      <c r="CN556" s="180"/>
      <c r="CO556" s="180"/>
      <c r="CP556" s="180"/>
      <c r="CQ556" s="180"/>
      <c r="CR556" s="180"/>
      <c r="CS556" s="180"/>
      <c r="CT556" s="180"/>
      <c r="CU556" s="180"/>
      <c r="CV556" s="173"/>
      <c r="CW556" s="173"/>
      <c r="CX556" s="173"/>
      <c r="CY556" s="173"/>
      <c r="CZ556" s="173"/>
      <c r="DA556" s="198"/>
      <c r="DC556" s="197"/>
      <c r="DD556" s="180"/>
      <c r="DE556" s="180"/>
      <c r="DF556" s="180"/>
      <c r="DG556" s="180"/>
      <c r="DH556" s="180"/>
      <c r="DI556" s="180"/>
      <c r="DJ556" s="180"/>
      <c r="DK556" s="180"/>
      <c r="DL556" s="180"/>
      <c r="DM556" s="180"/>
      <c r="DN556" s="180"/>
      <c r="DO556" s="180"/>
      <c r="DP556" s="180"/>
      <c r="DQ556" s="173"/>
      <c r="DR556" s="173"/>
      <c r="DS556" s="173"/>
      <c r="DT556" s="173"/>
      <c r="DU556" s="173"/>
      <c r="DV556" s="198"/>
    </row>
    <row r="557" spans="1:126" x14ac:dyDescent="0.2">
      <c r="A557" s="3">
        <v>138</v>
      </c>
      <c r="B557" s="3" t="s">
        <v>252</v>
      </c>
      <c r="CG557" s="179"/>
      <c r="CH557" s="197"/>
      <c r="CI557" s="180"/>
      <c r="CJ557" s="180"/>
      <c r="CK557" s="180"/>
      <c r="CL557" s="180"/>
      <c r="CM557" s="180"/>
      <c r="CN557" s="180"/>
      <c r="CO557" s="180"/>
      <c r="CP557" s="180"/>
      <c r="CQ557" s="180"/>
      <c r="CR557" s="180"/>
      <c r="CS557" s="180"/>
      <c r="CT557" s="180"/>
      <c r="CU557" s="180"/>
      <c r="CV557" s="173"/>
      <c r="CW557" s="173"/>
      <c r="CX557" s="173"/>
      <c r="CY557" s="173"/>
      <c r="CZ557" s="173"/>
      <c r="DA557" s="198"/>
      <c r="DC557" s="197"/>
      <c r="DD557" s="180"/>
      <c r="DE557" s="180"/>
      <c r="DF557" s="180"/>
      <c r="DG557" s="180"/>
      <c r="DH557" s="180"/>
      <c r="DI557" s="180"/>
      <c r="DJ557" s="180"/>
      <c r="DK557" s="180"/>
      <c r="DL557" s="180"/>
      <c r="DM557" s="180"/>
      <c r="DN557" s="180"/>
      <c r="DO557" s="180"/>
      <c r="DP557" s="180"/>
      <c r="DQ557" s="173"/>
      <c r="DR557" s="173"/>
      <c r="DS557" s="173"/>
      <c r="DT557" s="173"/>
      <c r="DU557" s="173"/>
      <c r="DV557" s="198"/>
    </row>
    <row r="558" spans="1:126" x14ac:dyDescent="0.2">
      <c r="A558" s="3">
        <v>139</v>
      </c>
      <c r="B558" s="3" t="s">
        <v>253</v>
      </c>
      <c r="CG558" s="176"/>
      <c r="CH558" s="197"/>
      <c r="CI558" s="180"/>
      <c r="CJ558" s="180"/>
      <c r="CK558" s="180"/>
      <c r="CL558" s="180"/>
      <c r="CM558" s="180"/>
      <c r="CN558" s="180"/>
      <c r="CO558" s="180"/>
      <c r="CP558" s="180"/>
      <c r="CQ558" s="180"/>
      <c r="CR558" s="180"/>
      <c r="CS558" s="180"/>
      <c r="CT558" s="180"/>
      <c r="CU558" s="180"/>
      <c r="CV558" s="173"/>
      <c r="CW558" s="173"/>
      <c r="CX558" s="173"/>
      <c r="CY558" s="173"/>
      <c r="CZ558" s="173"/>
      <c r="DA558" s="198"/>
      <c r="DC558" s="197"/>
      <c r="DD558" s="180"/>
      <c r="DE558" s="180"/>
      <c r="DF558" s="180"/>
      <c r="DG558" s="180"/>
      <c r="DH558" s="180"/>
      <c r="DI558" s="180"/>
      <c r="DJ558" s="180"/>
      <c r="DK558" s="180"/>
      <c r="DL558" s="180"/>
      <c r="DM558" s="180"/>
      <c r="DN558" s="180"/>
      <c r="DO558" s="180"/>
      <c r="DP558" s="180"/>
      <c r="DQ558" s="173"/>
      <c r="DR558" s="173"/>
      <c r="DS558" s="173"/>
      <c r="DT558" s="173"/>
      <c r="DU558" s="173"/>
      <c r="DV558" s="198"/>
    </row>
    <row r="559" spans="1:126" x14ac:dyDescent="0.2">
      <c r="A559" s="3">
        <v>140</v>
      </c>
      <c r="B559" s="3" t="s">
        <v>254</v>
      </c>
      <c r="CG559" s="176"/>
      <c r="CH559" s="197"/>
      <c r="CI559" s="180"/>
      <c r="CJ559" s="180"/>
      <c r="CK559" s="180"/>
      <c r="CL559" s="180"/>
      <c r="CM559" s="180"/>
      <c r="CN559" s="180"/>
      <c r="CO559" s="180"/>
      <c r="CP559" s="180"/>
      <c r="CQ559" s="180"/>
      <c r="CR559" s="180"/>
      <c r="CS559" s="180"/>
      <c r="CT559" s="180"/>
      <c r="CU559" s="180"/>
      <c r="CV559" s="173"/>
      <c r="CW559" s="173"/>
      <c r="CX559" s="173"/>
      <c r="CY559" s="173"/>
      <c r="CZ559" s="173"/>
      <c r="DA559" s="198"/>
      <c r="DC559" s="197"/>
      <c r="DD559" s="180"/>
      <c r="DE559" s="180"/>
      <c r="DF559" s="180"/>
      <c r="DG559" s="180"/>
      <c r="DH559" s="180"/>
      <c r="DI559" s="180"/>
      <c r="DJ559" s="180"/>
      <c r="DK559" s="180"/>
      <c r="DL559" s="180"/>
      <c r="DM559" s="180"/>
      <c r="DN559" s="180"/>
      <c r="DO559" s="180"/>
      <c r="DP559" s="180"/>
      <c r="DQ559" s="173"/>
      <c r="DR559" s="173"/>
      <c r="DS559" s="173"/>
      <c r="DT559" s="173"/>
      <c r="DU559" s="173"/>
      <c r="DV559" s="198"/>
    </row>
    <row r="560" spans="1:126" x14ac:dyDescent="0.2">
      <c r="A560" s="3">
        <v>141</v>
      </c>
      <c r="B560" s="3" t="s">
        <v>255</v>
      </c>
      <c r="CG560" s="176"/>
      <c r="CH560" s="199"/>
      <c r="CI560" s="200"/>
      <c r="CJ560" s="200"/>
      <c r="CK560" s="200"/>
      <c r="CL560" s="200"/>
      <c r="CM560" s="200"/>
      <c r="CN560" s="200"/>
      <c r="CO560" s="200"/>
      <c r="CP560" s="200"/>
      <c r="CQ560" s="201"/>
      <c r="CR560" s="202"/>
      <c r="CS560" s="200"/>
      <c r="CT560" s="200"/>
      <c r="CU560" s="200"/>
      <c r="CV560" s="203"/>
      <c r="CW560" s="203"/>
      <c r="CX560" s="203"/>
      <c r="CY560" s="203"/>
      <c r="CZ560" s="203"/>
      <c r="DA560" s="204"/>
      <c r="DC560" s="199"/>
      <c r="DD560" s="200"/>
      <c r="DE560" s="200"/>
      <c r="DF560" s="200"/>
      <c r="DG560" s="200"/>
      <c r="DH560" s="200"/>
      <c r="DI560" s="200"/>
      <c r="DJ560" s="200"/>
      <c r="DK560" s="200"/>
      <c r="DL560" s="200"/>
      <c r="DM560" s="200"/>
      <c r="DN560" s="200"/>
      <c r="DO560" s="200"/>
      <c r="DP560" s="200"/>
      <c r="DQ560" s="203"/>
      <c r="DR560" s="203"/>
      <c r="DS560" s="203"/>
      <c r="DT560" s="203"/>
      <c r="DU560" s="203"/>
      <c r="DV560" s="204"/>
    </row>
    <row r="561" spans="1:126" x14ac:dyDescent="0.2">
      <c r="A561" s="3">
        <v>142</v>
      </c>
      <c r="B561" s="3" t="s">
        <v>256</v>
      </c>
      <c r="CG561" s="176">
        <v>29</v>
      </c>
      <c r="CH561" s="192"/>
      <c r="CI561" s="193"/>
      <c r="CJ561" s="193"/>
      <c r="CK561" s="193"/>
      <c r="CL561" s="193"/>
      <c r="CM561" s="193"/>
      <c r="CN561" s="193"/>
      <c r="CO561" s="193"/>
      <c r="CP561" s="193"/>
      <c r="CQ561" s="193"/>
      <c r="CR561" s="193"/>
      <c r="CS561" s="193"/>
      <c r="CT561" s="193"/>
      <c r="CU561" s="193"/>
      <c r="CV561" s="194"/>
      <c r="CW561" s="194"/>
      <c r="CX561" s="194"/>
      <c r="CY561" s="194"/>
      <c r="CZ561" s="194"/>
      <c r="DA561" s="195"/>
      <c r="DC561" s="192"/>
      <c r="DD561" s="193"/>
      <c r="DE561" s="193"/>
      <c r="DF561" s="193"/>
      <c r="DG561" s="193"/>
      <c r="DH561" s="193"/>
      <c r="DI561" s="193"/>
      <c r="DJ561" s="193"/>
      <c r="DK561" s="193"/>
      <c r="DL561" s="193"/>
      <c r="DM561" s="193"/>
      <c r="DN561" s="193"/>
      <c r="DO561" s="193"/>
      <c r="DP561" s="193"/>
      <c r="DQ561" s="194"/>
      <c r="DR561" s="194"/>
      <c r="DS561" s="194"/>
      <c r="DT561" s="194"/>
      <c r="DU561" s="194"/>
      <c r="DV561" s="195"/>
    </row>
    <row r="562" spans="1:126" x14ac:dyDescent="0.2">
      <c r="A562" s="3">
        <v>143</v>
      </c>
      <c r="B562" s="3" t="s">
        <v>257</v>
      </c>
      <c r="CG562" s="176"/>
      <c r="CH562" s="169"/>
      <c r="CI562" s="177"/>
      <c r="CJ562" s="177"/>
      <c r="CK562" s="177"/>
      <c r="CL562" s="177"/>
      <c r="CM562" s="177"/>
      <c r="CN562" s="177"/>
      <c r="CO562" s="177"/>
      <c r="CP562" s="177"/>
      <c r="CQ562" s="177"/>
      <c r="CR562" s="177"/>
      <c r="CS562" s="177"/>
      <c r="CT562" s="177"/>
      <c r="CU562" s="177"/>
      <c r="CV562" s="172"/>
      <c r="CW562" s="172"/>
      <c r="CX562" s="172"/>
      <c r="CY562" s="172"/>
      <c r="CZ562" s="172"/>
      <c r="DA562" s="196"/>
      <c r="DC562" s="169"/>
      <c r="DD562" s="177"/>
      <c r="DE562" s="177"/>
      <c r="DF562" s="177"/>
      <c r="DG562" s="177"/>
      <c r="DH562" s="177"/>
      <c r="DI562" s="177"/>
      <c r="DJ562" s="177"/>
      <c r="DK562" s="177"/>
      <c r="DL562" s="177"/>
      <c r="DM562" s="177"/>
      <c r="DN562" s="177"/>
      <c r="DO562" s="177"/>
      <c r="DP562" s="177"/>
      <c r="DQ562" s="172"/>
      <c r="DR562" s="172"/>
      <c r="DS562" s="172"/>
      <c r="DT562" s="172"/>
      <c r="DU562" s="172"/>
      <c r="DV562" s="196"/>
    </row>
    <row r="563" spans="1:126" x14ac:dyDescent="0.2">
      <c r="A563" s="3">
        <v>144</v>
      </c>
      <c r="B563" s="3" t="s">
        <v>258</v>
      </c>
      <c r="CG563" s="131"/>
      <c r="CH563" s="169"/>
      <c r="CI563" s="177"/>
      <c r="CJ563" s="177"/>
      <c r="CK563" s="177"/>
      <c r="CL563" s="177"/>
      <c r="CM563" s="177"/>
      <c r="CN563" s="177"/>
      <c r="CO563" s="177"/>
      <c r="CP563" s="177"/>
      <c r="CQ563" s="177"/>
      <c r="CR563" s="177"/>
      <c r="CS563" s="177"/>
      <c r="CT563" s="177"/>
      <c r="CU563" s="177"/>
      <c r="CV563" s="172"/>
      <c r="CW563" s="172"/>
      <c r="CX563" s="172"/>
      <c r="CY563" s="172"/>
      <c r="CZ563" s="172"/>
      <c r="DA563" s="196"/>
      <c r="DC563" s="169"/>
      <c r="DD563" s="177"/>
      <c r="DE563" s="177"/>
      <c r="DF563" s="177"/>
      <c r="DG563" s="177"/>
      <c r="DH563" s="177"/>
      <c r="DI563" s="177"/>
      <c r="DJ563" s="177"/>
      <c r="DK563" s="177"/>
      <c r="DL563" s="177"/>
      <c r="DM563" s="177"/>
      <c r="DN563" s="177"/>
      <c r="DO563" s="177"/>
      <c r="DP563" s="177"/>
      <c r="DQ563" s="172"/>
      <c r="DR563" s="172"/>
      <c r="DS563" s="172"/>
      <c r="DT563" s="172"/>
      <c r="DU563" s="172"/>
      <c r="DV563" s="196"/>
    </row>
    <row r="564" spans="1:126" x14ac:dyDescent="0.2">
      <c r="A564" s="3">
        <v>145</v>
      </c>
      <c r="B564" s="3" t="s">
        <v>259</v>
      </c>
      <c r="CG564" s="176"/>
      <c r="CH564" s="169"/>
      <c r="CI564" s="177"/>
      <c r="CJ564" s="177"/>
      <c r="CK564" s="177"/>
      <c r="CL564" s="177"/>
      <c r="CM564" s="177"/>
      <c r="CN564" s="177"/>
      <c r="CO564" s="177"/>
      <c r="CP564" s="177"/>
      <c r="CQ564" s="177"/>
      <c r="CR564" s="177"/>
      <c r="CS564" s="177"/>
      <c r="CT564" s="177"/>
      <c r="CU564" s="177"/>
      <c r="CV564" s="172"/>
      <c r="CW564" s="172"/>
      <c r="CX564" s="172"/>
      <c r="CY564" s="172"/>
      <c r="CZ564" s="172"/>
      <c r="DA564" s="196"/>
      <c r="DC564" s="169"/>
      <c r="DD564" s="177"/>
      <c r="DE564" s="177"/>
      <c r="DF564" s="177"/>
      <c r="DG564" s="177"/>
      <c r="DH564" s="177"/>
      <c r="DI564" s="177"/>
      <c r="DJ564" s="177"/>
      <c r="DK564" s="177"/>
      <c r="DL564" s="177"/>
      <c r="DM564" s="177"/>
      <c r="DN564" s="177"/>
      <c r="DO564" s="177"/>
      <c r="DP564" s="177"/>
      <c r="DQ564" s="172"/>
      <c r="DR564" s="172"/>
      <c r="DS564" s="172"/>
      <c r="DT564" s="172"/>
      <c r="DU564" s="172"/>
      <c r="DV564" s="196"/>
    </row>
    <row r="565" spans="1:126" x14ac:dyDescent="0.2">
      <c r="A565" s="3">
        <v>146</v>
      </c>
      <c r="B565" s="3" t="s">
        <v>260</v>
      </c>
      <c r="CG565" s="178"/>
      <c r="CH565" s="169"/>
      <c r="CI565" s="177"/>
      <c r="CJ565" s="177"/>
      <c r="CK565" s="177"/>
      <c r="CL565" s="177"/>
      <c r="CM565" s="177"/>
      <c r="CN565" s="177"/>
      <c r="CO565" s="177"/>
      <c r="CP565" s="177"/>
      <c r="CQ565" s="177"/>
      <c r="CR565" s="177"/>
      <c r="CS565" s="177"/>
      <c r="CT565" s="177"/>
      <c r="CU565" s="177"/>
      <c r="CV565" s="172"/>
      <c r="CW565" s="172"/>
      <c r="CX565" s="172"/>
      <c r="CY565" s="172"/>
      <c r="CZ565" s="172"/>
      <c r="DA565" s="196"/>
      <c r="DC565" s="169"/>
      <c r="DD565" s="177"/>
      <c r="DE565" s="177"/>
      <c r="DF565" s="177"/>
      <c r="DG565" s="177"/>
      <c r="DH565" s="177"/>
      <c r="DI565" s="177"/>
      <c r="DJ565" s="177"/>
      <c r="DK565" s="177"/>
      <c r="DL565" s="177"/>
      <c r="DM565" s="177"/>
      <c r="DN565" s="177"/>
      <c r="DO565" s="177"/>
      <c r="DP565" s="177"/>
      <c r="DQ565" s="172"/>
      <c r="DR565" s="172"/>
      <c r="DS565" s="172"/>
      <c r="DT565" s="172"/>
      <c r="DU565" s="172"/>
      <c r="DV565" s="196"/>
    </row>
    <row r="566" spans="1:126" x14ac:dyDescent="0.2">
      <c r="A566" s="3">
        <v>147</v>
      </c>
      <c r="B566" s="3" t="s">
        <v>261</v>
      </c>
      <c r="CG566" s="179"/>
      <c r="CH566" s="169"/>
      <c r="CI566" s="177"/>
      <c r="CJ566" s="177"/>
      <c r="CK566" s="177"/>
      <c r="CL566" s="177"/>
      <c r="CM566" s="177"/>
      <c r="CN566" s="177"/>
      <c r="CO566" s="177"/>
      <c r="CP566" s="177"/>
      <c r="CQ566" s="177"/>
      <c r="CR566" s="177"/>
      <c r="CS566" s="177"/>
      <c r="CT566" s="177"/>
      <c r="CU566" s="177"/>
      <c r="CV566" s="172"/>
      <c r="CW566" s="172"/>
      <c r="CX566" s="172"/>
      <c r="CY566" s="172"/>
      <c r="CZ566" s="172"/>
      <c r="DA566" s="196"/>
      <c r="DC566" s="169"/>
      <c r="DD566" s="177"/>
      <c r="DE566" s="177"/>
      <c r="DF566" s="177"/>
      <c r="DG566" s="177"/>
      <c r="DH566" s="177"/>
      <c r="DI566" s="177"/>
      <c r="DJ566" s="177"/>
      <c r="DK566" s="177"/>
      <c r="DL566" s="177"/>
      <c r="DM566" s="177"/>
      <c r="DN566" s="177"/>
      <c r="DO566" s="177"/>
      <c r="DP566" s="177"/>
      <c r="DQ566" s="172"/>
      <c r="DR566" s="172"/>
      <c r="DS566" s="172"/>
      <c r="DT566" s="172"/>
      <c r="DU566" s="172"/>
      <c r="DV566" s="196"/>
    </row>
    <row r="567" spans="1:126" x14ac:dyDescent="0.2">
      <c r="A567" s="3">
        <v>148</v>
      </c>
      <c r="B567" s="3" t="s">
        <v>262</v>
      </c>
      <c r="CG567" s="179"/>
      <c r="CH567" s="169"/>
      <c r="CI567" s="177"/>
      <c r="CJ567" s="177"/>
      <c r="CK567" s="177"/>
      <c r="CL567" s="177"/>
      <c r="CM567" s="177"/>
      <c r="CN567" s="177"/>
      <c r="CO567" s="177"/>
      <c r="CP567" s="177"/>
      <c r="CQ567" s="177"/>
      <c r="CR567" s="177"/>
      <c r="CS567" s="177"/>
      <c r="CT567" s="177"/>
      <c r="CU567" s="177"/>
      <c r="CV567" s="172"/>
      <c r="CW567" s="172"/>
      <c r="CX567" s="172"/>
      <c r="CY567" s="172"/>
      <c r="CZ567" s="172"/>
      <c r="DA567" s="196"/>
      <c r="DC567" s="169"/>
      <c r="DD567" s="177"/>
      <c r="DE567" s="177"/>
      <c r="DF567" s="177"/>
      <c r="DG567" s="177"/>
      <c r="DH567" s="177"/>
      <c r="DI567" s="177"/>
      <c r="DJ567" s="177"/>
      <c r="DK567" s="177"/>
      <c r="DL567" s="177"/>
      <c r="DM567" s="177"/>
      <c r="DN567" s="177"/>
      <c r="DO567" s="177"/>
      <c r="DP567" s="177"/>
      <c r="DQ567" s="172"/>
      <c r="DR567" s="172"/>
      <c r="DS567" s="172"/>
      <c r="DT567" s="172"/>
      <c r="DU567" s="172"/>
      <c r="DV567" s="196"/>
    </row>
    <row r="568" spans="1:126" x14ac:dyDescent="0.2">
      <c r="A568" s="3">
        <v>149</v>
      </c>
      <c r="B568" s="3" t="s">
        <v>263</v>
      </c>
      <c r="CG568" s="179"/>
      <c r="CH568" s="169"/>
      <c r="CI568" s="177"/>
      <c r="CJ568" s="177"/>
      <c r="CK568" s="177"/>
      <c r="CL568" s="177"/>
      <c r="CM568" s="177"/>
      <c r="CN568" s="177"/>
      <c r="CO568" s="177"/>
      <c r="CP568" s="177"/>
      <c r="CQ568" s="177"/>
      <c r="CR568" s="177"/>
      <c r="CS568" s="177"/>
      <c r="CT568" s="177"/>
      <c r="CU568" s="177"/>
      <c r="CV568" s="172"/>
      <c r="CW568" s="172"/>
      <c r="CX568" s="172"/>
      <c r="CY568" s="172"/>
      <c r="CZ568" s="172"/>
      <c r="DA568" s="196"/>
      <c r="DC568" s="169"/>
      <c r="DD568" s="177"/>
      <c r="DE568" s="177"/>
      <c r="DF568" s="177"/>
      <c r="DG568" s="177"/>
      <c r="DH568" s="177"/>
      <c r="DI568" s="177"/>
      <c r="DJ568" s="177"/>
      <c r="DK568" s="177"/>
      <c r="DL568" s="177"/>
      <c r="DM568" s="177"/>
      <c r="DN568" s="177"/>
      <c r="DO568" s="177"/>
      <c r="DP568" s="177"/>
      <c r="DQ568" s="172"/>
      <c r="DR568" s="172"/>
      <c r="DS568" s="172"/>
      <c r="DT568" s="172"/>
      <c r="DU568" s="172"/>
      <c r="DV568" s="196"/>
    </row>
    <row r="569" spans="1:126" x14ac:dyDescent="0.2">
      <c r="A569" s="3">
        <v>150</v>
      </c>
      <c r="B569" s="3" t="s">
        <v>264</v>
      </c>
      <c r="CG569" s="179"/>
      <c r="CH569" s="169"/>
      <c r="CI569" s="177"/>
      <c r="CJ569" s="177"/>
      <c r="CK569" s="177"/>
      <c r="CL569" s="177"/>
      <c r="CM569" s="177"/>
      <c r="CN569" s="177"/>
      <c r="CO569" s="177"/>
      <c r="CP569" s="177"/>
      <c r="CQ569" s="177"/>
      <c r="CR569" s="177"/>
      <c r="CS569" s="177"/>
      <c r="CT569" s="177"/>
      <c r="CU569" s="177"/>
      <c r="CV569" s="172"/>
      <c r="CW569" s="172"/>
      <c r="CX569" s="172"/>
      <c r="CY569" s="172"/>
      <c r="CZ569" s="172"/>
      <c r="DA569" s="196"/>
      <c r="DC569" s="169"/>
      <c r="DD569" s="177"/>
      <c r="DE569" s="177"/>
      <c r="DF569" s="177"/>
      <c r="DG569" s="177"/>
      <c r="DH569" s="177"/>
      <c r="DI569" s="177"/>
      <c r="DJ569" s="177"/>
      <c r="DK569" s="177"/>
      <c r="DL569" s="177"/>
      <c r="DM569" s="177"/>
      <c r="DN569" s="177"/>
      <c r="DO569" s="177"/>
      <c r="DP569" s="177"/>
      <c r="DQ569" s="172"/>
      <c r="DR569" s="172"/>
      <c r="DS569" s="172"/>
      <c r="DT569" s="172"/>
      <c r="DU569" s="172"/>
      <c r="DV569" s="196"/>
    </row>
    <row r="570" spans="1:126" x14ac:dyDescent="0.2">
      <c r="A570" s="3">
        <v>151</v>
      </c>
      <c r="B570" s="3" t="s">
        <v>265</v>
      </c>
      <c r="CG570" s="179"/>
      <c r="CH570" s="169"/>
      <c r="CI570" s="177"/>
      <c r="CJ570" s="177"/>
      <c r="CK570" s="177"/>
      <c r="CL570" s="177"/>
      <c r="CM570" s="177"/>
      <c r="CN570" s="177"/>
      <c r="CO570" s="177"/>
      <c r="CP570" s="177"/>
      <c r="CQ570" s="177"/>
      <c r="CR570" s="177"/>
      <c r="CS570" s="177"/>
      <c r="CT570" s="177"/>
      <c r="CU570" s="177"/>
      <c r="CV570" s="172"/>
      <c r="CW570" s="172"/>
      <c r="CX570" s="172"/>
      <c r="CY570" s="172"/>
      <c r="CZ570" s="172"/>
      <c r="DA570" s="196"/>
      <c r="DC570" s="169"/>
      <c r="DD570" s="177"/>
      <c r="DE570" s="177"/>
      <c r="DF570" s="177"/>
      <c r="DG570" s="177"/>
      <c r="DH570" s="177"/>
      <c r="DI570" s="177"/>
      <c r="DJ570" s="177"/>
      <c r="DK570" s="177"/>
      <c r="DL570" s="177"/>
      <c r="DM570" s="177"/>
      <c r="DN570" s="177"/>
      <c r="DO570" s="177"/>
      <c r="DP570" s="177"/>
      <c r="DQ570" s="172"/>
      <c r="DR570" s="172"/>
      <c r="DS570" s="172"/>
      <c r="DT570" s="172"/>
      <c r="DU570" s="172"/>
      <c r="DV570" s="196"/>
    </row>
    <row r="571" spans="1:126" x14ac:dyDescent="0.2">
      <c r="A571" s="3">
        <v>152</v>
      </c>
      <c r="B571" s="3" t="s">
        <v>266</v>
      </c>
      <c r="CG571" s="179"/>
      <c r="CH571" s="169"/>
      <c r="CI571" s="177"/>
      <c r="CJ571" s="177"/>
      <c r="CK571" s="177"/>
      <c r="CL571" s="177"/>
      <c r="CM571" s="177"/>
      <c r="CN571" s="177"/>
      <c r="CO571" s="177"/>
      <c r="CP571" s="177"/>
      <c r="CQ571" s="177"/>
      <c r="CR571" s="177"/>
      <c r="CS571" s="177"/>
      <c r="CT571" s="177"/>
      <c r="CU571" s="177"/>
      <c r="CV571" s="172"/>
      <c r="CW571" s="172"/>
      <c r="CX571" s="172"/>
      <c r="CY571" s="172"/>
      <c r="CZ571" s="172"/>
      <c r="DA571" s="196"/>
      <c r="DC571" s="169"/>
      <c r="DD571" s="177"/>
      <c r="DE571" s="177"/>
      <c r="DF571" s="177"/>
      <c r="DG571" s="177"/>
      <c r="DH571" s="177"/>
      <c r="DI571" s="177"/>
      <c r="DJ571" s="177"/>
      <c r="DK571" s="177"/>
      <c r="DL571" s="177"/>
      <c r="DM571" s="177"/>
      <c r="DN571" s="177"/>
      <c r="DO571" s="177"/>
      <c r="DP571" s="177"/>
      <c r="DQ571" s="172"/>
      <c r="DR571" s="172"/>
      <c r="DS571" s="172"/>
      <c r="DT571" s="172"/>
      <c r="DU571" s="172"/>
      <c r="DV571" s="196"/>
    </row>
    <row r="572" spans="1:126" x14ac:dyDescent="0.2">
      <c r="A572" s="3">
        <v>153</v>
      </c>
      <c r="B572" s="3" t="s">
        <v>267</v>
      </c>
      <c r="CG572" s="179"/>
      <c r="CH572" s="169"/>
      <c r="CI572" s="177"/>
      <c r="CJ572" s="177"/>
      <c r="CK572" s="177"/>
      <c r="CL572" s="177"/>
      <c r="CM572" s="177"/>
      <c r="CN572" s="177"/>
      <c r="CO572" s="177"/>
      <c r="CP572" s="177"/>
      <c r="CQ572" s="177"/>
      <c r="CR572" s="177"/>
      <c r="CS572" s="177"/>
      <c r="CT572" s="177"/>
      <c r="CU572" s="177"/>
      <c r="CV572" s="172"/>
      <c r="CW572" s="172"/>
      <c r="CX572" s="172"/>
      <c r="CY572" s="172"/>
      <c r="CZ572" s="172"/>
      <c r="DA572" s="196"/>
      <c r="DC572" s="169"/>
      <c r="DD572" s="177"/>
      <c r="DE572" s="177"/>
      <c r="DF572" s="177"/>
      <c r="DG572" s="177"/>
      <c r="DH572" s="177"/>
      <c r="DI572" s="177"/>
      <c r="DJ572" s="177"/>
      <c r="DK572" s="177"/>
      <c r="DL572" s="177"/>
      <c r="DM572" s="177"/>
      <c r="DN572" s="177"/>
      <c r="DO572" s="177"/>
      <c r="DP572" s="177"/>
      <c r="DQ572" s="172"/>
      <c r="DR572" s="172"/>
      <c r="DS572" s="172"/>
      <c r="DT572" s="172"/>
      <c r="DU572" s="172"/>
      <c r="DV572" s="196"/>
    </row>
    <row r="573" spans="1:126" x14ac:dyDescent="0.2">
      <c r="A573" s="3">
        <v>154</v>
      </c>
      <c r="B573" s="3" t="s">
        <v>268</v>
      </c>
      <c r="CG573" s="179"/>
      <c r="CH573" s="197"/>
      <c r="CI573" s="180"/>
      <c r="CJ573" s="180"/>
      <c r="CK573" s="180"/>
      <c r="CL573" s="180"/>
      <c r="CM573" s="180"/>
      <c r="CN573" s="180"/>
      <c r="CO573" s="180"/>
      <c r="CP573" s="180"/>
      <c r="CQ573" s="180"/>
      <c r="CR573" s="180"/>
      <c r="CS573" s="180"/>
      <c r="CT573" s="180"/>
      <c r="CU573" s="180"/>
      <c r="CV573" s="173"/>
      <c r="CW573" s="173"/>
      <c r="CX573" s="173"/>
      <c r="CY573" s="173"/>
      <c r="CZ573" s="173"/>
      <c r="DA573" s="198"/>
      <c r="DC573" s="197"/>
      <c r="DD573" s="180"/>
      <c r="DE573" s="180"/>
      <c r="DF573" s="180"/>
      <c r="DG573" s="180"/>
      <c r="DH573" s="180"/>
      <c r="DI573" s="180"/>
      <c r="DJ573" s="180"/>
      <c r="DK573" s="180"/>
      <c r="DL573" s="180"/>
      <c r="DM573" s="180"/>
      <c r="DN573" s="180"/>
      <c r="DO573" s="180"/>
      <c r="DP573" s="180"/>
      <c r="DQ573" s="173"/>
      <c r="DR573" s="173"/>
      <c r="DS573" s="173"/>
      <c r="DT573" s="173"/>
      <c r="DU573" s="173"/>
      <c r="DV573" s="198"/>
    </row>
    <row r="574" spans="1:126" x14ac:dyDescent="0.2">
      <c r="A574" s="3">
        <v>155</v>
      </c>
      <c r="B574" s="3" t="s">
        <v>269</v>
      </c>
      <c r="CG574" s="179"/>
      <c r="CH574" s="197"/>
      <c r="CI574" s="180"/>
      <c r="CJ574" s="180"/>
      <c r="CK574" s="180"/>
      <c r="CL574" s="180"/>
      <c r="CM574" s="180"/>
      <c r="CN574" s="180"/>
      <c r="CO574" s="180"/>
      <c r="CP574" s="180"/>
      <c r="CQ574" s="180"/>
      <c r="CR574" s="180"/>
      <c r="CS574" s="180"/>
      <c r="CT574" s="180"/>
      <c r="CU574" s="180"/>
      <c r="CV574" s="173"/>
      <c r="CW574" s="173"/>
      <c r="CX574" s="173"/>
      <c r="CY574" s="173"/>
      <c r="CZ574" s="173"/>
      <c r="DA574" s="198"/>
      <c r="DC574" s="197"/>
      <c r="DD574" s="180"/>
      <c r="DE574" s="180"/>
      <c r="DF574" s="180"/>
      <c r="DG574" s="180"/>
      <c r="DH574" s="180"/>
      <c r="DI574" s="180"/>
      <c r="DJ574" s="180"/>
      <c r="DK574" s="180"/>
      <c r="DL574" s="180"/>
      <c r="DM574" s="180"/>
      <c r="DN574" s="180"/>
      <c r="DO574" s="180"/>
      <c r="DP574" s="180"/>
      <c r="DQ574" s="173"/>
      <c r="DR574" s="173"/>
      <c r="DS574" s="173"/>
      <c r="DT574" s="173"/>
      <c r="DU574" s="173"/>
      <c r="DV574" s="198"/>
    </row>
    <row r="575" spans="1:126" x14ac:dyDescent="0.2">
      <c r="A575" s="3">
        <v>156</v>
      </c>
      <c r="B575" s="3" t="s">
        <v>270</v>
      </c>
      <c r="CG575" s="179"/>
      <c r="CH575" s="197"/>
      <c r="CI575" s="180"/>
      <c r="CJ575" s="180"/>
      <c r="CK575" s="180"/>
      <c r="CL575" s="180"/>
      <c r="CM575" s="180"/>
      <c r="CN575" s="180"/>
      <c r="CO575" s="180"/>
      <c r="CP575" s="180"/>
      <c r="CQ575" s="180"/>
      <c r="CR575" s="180"/>
      <c r="CS575" s="180"/>
      <c r="CT575" s="180"/>
      <c r="CU575" s="180"/>
      <c r="CV575" s="173"/>
      <c r="CW575" s="173"/>
      <c r="CX575" s="173"/>
      <c r="CY575" s="173"/>
      <c r="CZ575" s="173"/>
      <c r="DA575" s="198"/>
      <c r="DC575" s="197"/>
      <c r="DD575" s="180"/>
      <c r="DE575" s="180"/>
      <c r="DF575" s="180"/>
      <c r="DG575" s="180"/>
      <c r="DH575" s="180"/>
      <c r="DI575" s="180"/>
      <c r="DJ575" s="180"/>
      <c r="DK575" s="180"/>
      <c r="DL575" s="180"/>
      <c r="DM575" s="180"/>
      <c r="DN575" s="180"/>
      <c r="DO575" s="180"/>
      <c r="DP575" s="180"/>
      <c r="DQ575" s="173"/>
      <c r="DR575" s="173"/>
      <c r="DS575" s="173"/>
      <c r="DT575" s="173"/>
      <c r="DU575" s="173"/>
      <c r="DV575" s="198"/>
    </row>
    <row r="576" spans="1:126" x14ac:dyDescent="0.2">
      <c r="A576" s="3">
        <v>157</v>
      </c>
      <c r="B576" s="3" t="s">
        <v>271</v>
      </c>
      <c r="CG576" s="179"/>
      <c r="CH576" s="197"/>
      <c r="CI576" s="180"/>
      <c r="CJ576" s="180"/>
      <c r="CK576" s="180"/>
      <c r="CL576" s="180"/>
      <c r="CM576" s="180"/>
      <c r="CN576" s="180"/>
      <c r="CO576" s="180"/>
      <c r="CP576" s="180"/>
      <c r="CQ576" s="180"/>
      <c r="CR576" s="180"/>
      <c r="CS576" s="180"/>
      <c r="CT576" s="180"/>
      <c r="CU576" s="180"/>
      <c r="CV576" s="173"/>
      <c r="CW576" s="173"/>
      <c r="CX576" s="173"/>
      <c r="CY576" s="173"/>
      <c r="CZ576" s="173"/>
      <c r="DA576" s="198"/>
      <c r="DC576" s="197"/>
      <c r="DD576" s="180"/>
      <c r="DE576" s="180"/>
      <c r="DF576" s="180"/>
      <c r="DG576" s="180"/>
      <c r="DH576" s="180"/>
      <c r="DI576" s="180"/>
      <c r="DJ576" s="180"/>
      <c r="DK576" s="180"/>
      <c r="DL576" s="180"/>
      <c r="DM576" s="180"/>
      <c r="DN576" s="180"/>
      <c r="DO576" s="180"/>
      <c r="DP576" s="180"/>
      <c r="DQ576" s="173"/>
      <c r="DR576" s="173"/>
      <c r="DS576" s="173"/>
      <c r="DT576" s="173"/>
      <c r="DU576" s="173"/>
      <c r="DV576" s="198"/>
    </row>
    <row r="577" spans="1:126" x14ac:dyDescent="0.2">
      <c r="A577" s="3">
        <v>158</v>
      </c>
      <c r="B577" s="3" t="s">
        <v>272</v>
      </c>
      <c r="CG577" s="179"/>
      <c r="CH577" s="197"/>
      <c r="CI577" s="180"/>
      <c r="CJ577" s="180"/>
      <c r="CK577" s="180"/>
      <c r="CL577" s="180"/>
      <c r="CM577" s="180"/>
      <c r="CN577" s="180"/>
      <c r="CO577" s="180"/>
      <c r="CP577" s="180"/>
      <c r="CQ577" s="180"/>
      <c r="CR577" s="180"/>
      <c r="CS577" s="180"/>
      <c r="CT577" s="180"/>
      <c r="CU577" s="180"/>
      <c r="CV577" s="173"/>
      <c r="CW577" s="173"/>
      <c r="CX577" s="173"/>
      <c r="CY577" s="173"/>
      <c r="CZ577" s="173"/>
      <c r="DA577" s="198"/>
      <c r="DC577" s="197"/>
      <c r="DD577" s="180"/>
      <c r="DE577" s="180"/>
      <c r="DF577" s="180"/>
      <c r="DG577" s="180"/>
      <c r="DH577" s="180"/>
      <c r="DI577" s="180"/>
      <c r="DJ577" s="180"/>
      <c r="DK577" s="180"/>
      <c r="DL577" s="180"/>
      <c r="DM577" s="180"/>
      <c r="DN577" s="180"/>
      <c r="DO577" s="180"/>
      <c r="DP577" s="180"/>
      <c r="DQ577" s="173"/>
      <c r="DR577" s="173"/>
      <c r="DS577" s="173"/>
      <c r="DT577" s="173"/>
      <c r="DU577" s="173"/>
      <c r="DV577" s="198"/>
    </row>
    <row r="578" spans="1:126" x14ac:dyDescent="0.2">
      <c r="A578" s="3">
        <v>159</v>
      </c>
      <c r="B578" s="3" t="s">
        <v>273</v>
      </c>
      <c r="CG578" s="176"/>
      <c r="CH578" s="197"/>
      <c r="CI578" s="180"/>
      <c r="CJ578" s="180"/>
      <c r="CK578" s="180"/>
      <c r="CL578" s="180"/>
      <c r="CM578" s="180"/>
      <c r="CN578" s="180"/>
      <c r="CO578" s="180"/>
      <c r="CP578" s="180"/>
      <c r="CQ578" s="180"/>
      <c r="CR578" s="180"/>
      <c r="CS578" s="180"/>
      <c r="CT578" s="180"/>
      <c r="CU578" s="180"/>
      <c r="CV578" s="173"/>
      <c r="CW578" s="173"/>
      <c r="CX578" s="173"/>
      <c r="CY578" s="173"/>
      <c r="CZ578" s="173"/>
      <c r="DA578" s="198"/>
      <c r="DC578" s="197"/>
      <c r="DD578" s="180"/>
      <c r="DE578" s="180"/>
      <c r="DF578" s="180"/>
      <c r="DG578" s="180"/>
      <c r="DH578" s="180"/>
      <c r="DI578" s="180"/>
      <c r="DJ578" s="180"/>
      <c r="DK578" s="180"/>
      <c r="DL578" s="180"/>
      <c r="DM578" s="180"/>
      <c r="DN578" s="180"/>
      <c r="DO578" s="180"/>
      <c r="DP578" s="180"/>
      <c r="DQ578" s="173"/>
      <c r="DR578" s="173"/>
      <c r="DS578" s="173"/>
      <c r="DT578" s="173"/>
      <c r="DU578" s="173"/>
      <c r="DV578" s="198"/>
    </row>
    <row r="579" spans="1:126" x14ac:dyDescent="0.2">
      <c r="A579" s="3">
        <v>160</v>
      </c>
      <c r="B579" s="3" t="s">
        <v>274</v>
      </c>
      <c r="CG579" s="176"/>
      <c r="CH579" s="197"/>
      <c r="CI579" s="180"/>
      <c r="CJ579" s="180"/>
      <c r="CK579" s="180"/>
      <c r="CL579" s="180"/>
      <c r="CM579" s="180"/>
      <c r="CN579" s="180"/>
      <c r="CO579" s="180"/>
      <c r="CP579" s="180"/>
      <c r="CQ579" s="180"/>
      <c r="CR579" s="180"/>
      <c r="CS579" s="180"/>
      <c r="CT579" s="180"/>
      <c r="CU579" s="180"/>
      <c r="CV579" s="173"/>
      <c r="CW579" s="173"/>
      <c r="CX579" s="173"/>
      <c r="CY579" s="173"/>
      <c r="CZ579" s="173"/>
      <c r="DA579" s="198"/>
      <c r="DC579" s="197"/>
      <c r="DD579" s="180"/>
      <c r="DE579" s="180"/>
      <c r="DF579" s="180"/>
      <c r="DG579" s="180"/>
      <c r="DH579" s="180"/>
      <c r="DI579" s="180"/>
      <c r="DJ579" s="180"/>
      <c r="DK579" s="180"/>
      <c r="DL579" s="180"/>
      <c r="DM579" s="180"/>
      <c r="DN579" s="180"/>
      <c r="DO579" s="180"/>
      <c r="DP579" s="180"/>
      <c r="DQ579" s="173"/>
      <c r="DR579" s="173"/>
      <c r="DS579" s="173"/>
      <c r="DT579" s="173"/>
      <c r="DU579" s="173"/>
      <c r="DV579" s="198"/>
    </row>
    <row r="580" spans="1:126" x14ac:dyDescent="0.2">
      <c r="A580" s="3">
        <v>161</v>
      </c>
      <c r="B580" s="3" t="s">
        <v>275</v>
      </c>
      <c r="CG580" s="176"/>
      <c r="CH580" s="199"/>
      <c r="CI580" s="200"/>
      <c r="CJ580" s="200"/>
      <c r="CK580" s="200"/>
      <c r="CL580" s="200"/>
      <c r="CM580" s="200"/>
      <c r="CN580" s="200"/>
      <c r="CO580" s="200"/>
      <c r="CP580" s="200"/>
      <c r="CQ580" s="201"/>
      <c r="CR580" s="202"/>
      <c r="CS580" s="200"/>
      <c r="CT580" s="200"/>
      <c r="CU580" s="200"/>
      <c r="CV580" s="203"/>
      <c r="CW580" s="203"/>
      <c r="CX580" s="203"/>
      <c r="CY580" s="203"/>
      <c r="CZ580" s="203"/>
      <c r="DA580" s="204"/>
      <c r="DC580" s="199"/>
      <c r="DD580" s="200"/>
      <c r="DE580" s="200"/>
      <c r="DF580" s="200"/>
      <c r="DG580" s="200"/>
      <c r="DH580" s="200"/>
      <c r="DI580" s="200"/>
      <c r="DJ580" s="200"/>
      <c r="DK580" s="200"/>
      <c r="DL580" s="200"/>
      <c r="DM580" s="200"/>
      <c r="DN580" s="200"/>
      <c r="DO580" s="200"/>
      <c r="DP580" s="200"/>
      <c r="DQ580" s="203"/>
      <c r="DR580" s="203"/>
      <c r="DS580" s="203"/>
      <c r="DT580" s="203"/>
      <c r="DU580" s="203"/>
      <c r="DV580" s="204"/>
    </row>
    <row r="581" spans="1:126" x14ac:dyDescent="0.2">
      <c r="A581" s="3">
        <v>162</v>
      </c>
      <c r="B581" s="3" t="s">
        <v>276</v>
      </c>
      <c r="CG581" s="176">
        <v>30</v>
      </c>
      <c r="CH581" s="192"/>
      <c r="CI581" s="193"/>
      <c r="CJ581" s="193"/>
      <c r="CK581" s="193"/>
      <c r="CL581" s="193"/>
      <c r="CM581" s="193"/>
      <c r="CN581" s="193"/>
      <c r="CO581" s="193"/>
      <c r="CP581" s="193"/>
      <c r="CQ581" s="193"/>
      <c r="CR581" s="193"/>
      <c r="CS581" s="193"/>
      <c r="CT581" s="193"/>
      <c r="CU581" s="193"/>
      <c r="CV581" s="194"/>
      <c r="CW581" s="194"/>
      <c r="CX581" s="194"/>
      <c r="CY581" s="194"/>
      <c r="CZ581" s="194"/>
      <c r="DA581" s="195"/>
      <c r="DC581" s="192"/>
      <c r="DD581" s="193"/>
      <c r="DE581" s="193"/>
      <c r="DF581" s="193"/>
      <c r="DG581" s="193"/>
      <c r="DH581" s="193"/>
      <c r="DI581" s="193"/>
      <c r="DJ581" s="193"/>
      <c r="DK581" s="193"/>
      <c r="DL581" s="193"/>
      <c r="DM581" s="193"/>
      <c r="DN581" s="193"/>
      <c r="DO581" s="193"/>
      <c r="DP581" s="193"/>
      <c r="DQ581" s="194"/>
      <c r="DR581" s="194"/>
      <c r="DS581" s="194"/>
      <c r="DT581" s="194"/>
      <c r="DU581" s="194"/>
      <c r="DV581" s="195"/>
    </row>
    <row r="582" spans="1:126" x14ac:dyDescent="0.2">
      <c r="A582" s="3">
        <v>163</v>
      </c>
      <c r="B582" s="3" t="s">
        <v>277</v>
      </c>
      <c r="CG582" s="176"/>
      <c r="CH582" s="169"/>
      <c r="CI582" s="177"/>
      <c r="CJ582" s="177"/>
      <c r="CK582" s="177"/>
      <c r="CL582" s="177"/>
      <c r="CM582" s="177"/>
      <c r="CN582" s="177"/>
      <c r="CO582" s="177"/>
      <c r="CP582" s="177"/>
      <c r="CQ582" s="177"/>
      <c r="CR582" s="177"/>
      <c r="CS582" s="177"/>
      <c r="CT582" s="177"/>
      <c r="CU582" s="177"/>
      <c r="CV582" s="172"/>
      <c r="CW582" s="172"/>
      <c r="CX582" s="172"/>
      <c r="CY582" s="172"/>
      <c r="CZ582" s="172"/>
      <c r="DA582" s="196"/>
      <c r="DC582" s="169"/>
      <c r="DD582" s="177"/>
      <c r="DE582" s="177"/>
      <c r="DF582" s="177"/>
      <c r="DG582" s="177"/>
      <c r="DH582" s="177"/>
      <c r="DI582" s="177"/>
      <c r="DJ582" s="177"/>
      <c r="DK582" s="177"/>
      <c r="DL582" s="177"/>
      <c r="DM582" s="177"/>
      <c r="DN582" s="177"/>
      <c r="DO582" s="177"/>
      <c r="DP582" s="177"/>
      <c r="DQ582" s="172"/>
      <c r="DR582" s="172"/>
      <c r="DS582" s="172"/>
      <c r="DT582" s="172"/>
      <c r="DU582" s="172"/>
      <c r="DV582" s="196"/>
    </row>
    <row r="583" spans="1:126" x14ac:dyDescent="0.2">
      <c r="A583" s="3">
        <v>164</v>
      </c>
      <c r="B583" s="3" t="s">
        <v>278</v>
      </c>
      <c r="CG583" s="131"/>
      <c r="CH583" s="169"/>
      <c r="CI583" s="177"/>
      <c r="CJ583" s="177"/>
      <c r="CK583" s="177"/>
      <c r="CL583" s="177"/>
      <c r="CM583" s="177"/>
      <c r="CN583" s="177"/>
      <c r="CO583" s="177"/>
      <c r="CP583" s="177"/>
      <c r="CQ583" s="177"/>
      <c r="CR583" s="177"/>
      <c r="CS583" s="177"/>
      <c r="CT583" s="177"/>
      <c r="CU583" s="177"/>
      <c r="CV583" s="172"/>
      <c r="CW583" s="172"/>
      <c r="CX583" s="172"/>
      <c r="CY583" s="172"/>
      <c r="CZ583" s="172"/>
      <c r="DA583" s="196"/>
      <c r="DC583" s="169"/>
      <c r="DD583" s="177"/>
      <c r="DE583" s="177"/>
      <c r="DF583" s="177"/>
      <c r="DG583" s="177"/>
      <c r="DH583" s="177"/>
      <c r="DI583" s="177"/>
      <c r="DJ583" s="177"/>
      <c r="DK583" s="177"/>
      <c r="DL583" s="177"/>
      <c r="DM583" s="177"/>
      <c r="DN583" s="177"/>
      <c r="DO583" s="177"/>
      <c r="DP583" s="177"/>
      <c r="DQ583" s="172"/>
      <c r="DR583" s="172"/>
      <c r="DS583" s="172"/>
      <c r="DT583" s="172"/>
      <c r="DU583" s="172"/>
      <c r="DV583" s="196"/>
    </row>
    <row r="584" spans="1:126" x14ac:dyDescent="0.2">
      <c r="A584" s="3">
        <v>165</v>
      </c>
      <c r="B584" s="3" t="s">
        <v>279</v>
      </c>
      <c r="CG584" s="176"/>
      <c r="CH584" s="169"/>
      <c r="CI584" s="177"/>
      <c r="CJ584" s="177"/>
      <c r="CK584" s="177"/>
      <c r="CL584" s="177"/>
      <c r="CM584" s="177"/>
      <c r="CN584" s="177"/>
      <c r="CO584" s="177"/>
      <c r="CP584" s="177"/>
      <c r="CQ584" s="177"/>
      <c r="CR584" s="177"/>
      <c r="CS584" s="177"/>
      <c r="CT584" s="177"/>
      <c r="CU584" s="177"/>
      <c r="CV584" s="172"/>
      <c r="CW584" s="172"/>
      <c r="CX584" s="172"/>
      <c r="CY584" s="172"/>
      <c r="CZ584" s="172"/>
      <c r="DA584" s="196"/>
      <c r="DC584" s="169"/>
      <c r="DD584" s="177"/>
      <c r="DE584" s="177"/>
      <c r="DF584" s="177"/>
      <c r="DG584" s="177"/>
      <c r="DH584" s="177"/>
      <c r="DI584" s="177"/>
      <c r="DJ584" s="177"/>
      <c r="DK584" s="177"/>
      <c r="DL584" s="177"/>
      <c r="DM584" s="177"/>
      <c r="DN584" s="177"/>
      <c r="DO584" s="177"/>
      <c r="DP584" s="177"/>
      <c r="DQ584" s="172"/>
      <c r="DR584" s="172"/>
      <c r="DS584" s="172"/>
      <c r="DT584" s="172"/>
      <c r="DU584" s="172"/>
      <c r="DV584" s="196"/>
    </row>
    <row r="585" spans="1:126" x14ac:dyDescent="0.2">
      <c r="A585" s="3">
        <v>166</v>
      </c>
      <c r="B585" s="3" t="s">
        <v>280</v>
      </c>
      <c r="CG585" s="178"/>
      <c r="CH585" s="169"/>
      <c r="CI585" s="177"/>
      <c r="CJ585" s="177"/>
      <c r="CK585" s="177"/>
      <c r="CL585" s="177"/>
      <c r="CM585" s="177"/>
      <c r="CN585" s="177"/>
      <c r="CO585" s="177"/>
      <c r="CP585" s="177"/>
      <c r="CQ585" s="177"/>
      <c r="CR585" s="177"/>
      <c r="CS585" s="177"/>
      <c r="CT585" s="177"/>
      <c r="CU585" s="177"/>
      <c r="CV585" s="172"/>
      <c r="CW585" s="172"/>
      <c r="CX585" s="172"/>
      <c r="CY585" s="172"/>
      <c r="CZ585" s="172"/>
      <c r="DA585" s="196"/>
      <c r="DC585" s="169"/>
      <c r="DD585" s="177"/>
      <c r="DE585" s="177"/>
      <c r="DF585" s="177"/>
      <c r="DG585" s="177"/>
      <c r="DH585" s="177"/>
      <c r="DI585" s="177"/>
      <c r="DJ585" s="177"/>
      <c r="DK585" s="177"/>
      <c r="DL585" s="177"/>
      <c r="DM585" s="177"/>
      <c r="DN585" s="177"/>
      <c r="DO585" s="177"/>
      <c r="DP585" s="177"/>
      <c r="DQ585" s="172"/>
      <c r="DR585" s="172"/>
      <c r="DS585" s="172"/>
      <c r="DT585" s="172"/>
      <c r="DU585" s="172"/>
      <c r="DV585" s="196"/>
    </row>
    <row r="586" spans="1:126" x14ac:dyDescent="0.2">
      <c r="A586" s="3">
        <v>167</v>
      </c>
      <c r="B586" s="3" t="s">
        <v>281</v>
      </c>
      <c r="CG586" s="179"/>
      <c r="CH586" s="169"/>
      <c r="CI586" s="177"/>
      <c r="CJ586" s="177"/>
      <c r="CK586" s="177"/>
      <c r="CL586" s="177"/>
      <c r="CM586" s="177"/>
      <c r="CN586" s="177"/>
      <c r="CO586" s="177"/>
      <c r="CP586" s="177"/>
      <c r="CQ586" s="177"/>
      <c r="CR586" s="177"/>
      <c r="CS586" s="177"/>
      <c r="CT586" s="177"/>
      <c r="CU586" s="177"/>
      <c r="CV586" s="172"/>
      <c r="CW586" s="172"/>
      <c r="CX586" s="172"/>
      <c r="CY586" s="172"/>
      <c r="CZ586" s="172"/>
      <c r="DA586" s="196"/>
      <c r="DC586" s="169"/>
      <c r="DD586" s="177"/>
      <c r="DE586" s="177"/>
      <c r="DF586" s="177"/>
      <c r="DG586" s="177"/>
      <c r="DH586" s="177"/>
      <c r="DI586" s="177"/>
      <c r="DJ586" s="177"/>
      <c r="DK586" s="177"/>
      <c r="DL586" s="177"/>
      <c r="DM586" s="177"/>
      <c r="DN586" s="177"/>
      <c r="DO586" s="177"/>
      <c r="DP586" s="177"/>
      <c r="DQ586" s="172"/>
      <c r="DR586" s="172"/>
      <c r="DS586" s="172"/>
      <c r="DT586" s="172"/>
      <c r="DU586" s="172"/>
      <c r="DV586" s="196"/>
    </row>
    <row r="587" spans="1:126" x14ac:dyDescent="0.2">
      <c r="A587" s="3">
        <v>168</v>
      </c>
      <c r="B587" s="3" t="s">
        <v>282</v>
      </c>
      <c r="CG587" s="179"/>
      <c r="CH587" s="169"/>
      <c r="CI587" s="177"/>
      <c r="CJ587" s="177"/>
      <c r="CK587" s="177"/>
      <c r="CL587" s="177"/>
      <c r="CM587" s="177"/>
      <c r="CN587" s="177"/>
      <c r="CO587" s="177"/>
      <c r="CP587" s="177"/>
      <c r="CQ587" s="177"/>
      <c r="CR587" s="177"/>
      <c r="CS587" s="177"/>
      <c r="CT587" s="177"/>
      <c r="CU587" s="177"/>
      <c r="CV587" s="172"/>
      <c r="CW587" s="172"/>
      <c r="CX587" s="172"/>
      <c r="CY587" s="172"/>
      <c r="CZ587" s="172"/>
      <c r="DA587" s="196"/>
      <c r="DC587" s="169"/>
      <c r="DD587" s="177"/>
      <c r="DE587" s="177"/>
      <c r="DF587" s="177"/>
      <c r="DG587" s="177"/>
      <c r="DH587" s="177"/>
      <c r="DI587" s="177"/>
      <c r="DJ587" s="177"/>
      <c r="DK587" s="177"/>
      <c r="DL587" s="177"/>
      <c r="DM587" s="177"/>
      <c r="DN587" s="177"/>
      <c r="DO587" s="177"/>
      <c r="DP587" s="177"/>
      <c r="DQ587" s="172"/>
      <c r="DR587" s="172"/>
      <c r="DS587" s="172"/>
      <c r="DT587" s="172"/>
      <c r="DU587" s="172"/>
      <c r="DV587" s="196"/>
    </row>
    <row r="588" spans="1:126" x14ac:dyDescent="0.2">
      <c r="A588" s="3">
        <v>169</v>
      </c>
      <c r="B588" s="3" t="s">
        <v>283</v>
      </c>
      <c r="CG588" s="179"/>
      <c r="CH588" s="169"/>
      <c r="CI588" s="177"/>
      <c r="CJ588" s="177"/>
      <c r="CK588" s="177"/>
      <c r="CL588" s="177"/>
      <c r="CM588" s="177"/>
      <c r="CN588" s="177"/>
      <c r="CO588" s="177"/>
      <c r="CP588" s="177"/>
      <c r="CQ588" s="177"/>
      <c r="CR588" s="177"/>
      <c r="CS588" s="177"/>
      <c r="CT588" s="177"/>
      <c r="CU588" s="177"/>
      <c r="CV588" s="172"/>
      <c r="CW588" s="172"/>
      <c r="CX588" s="172"/>
      <c r="CY588" s="172"/>
      <c r="CZ588" s="172"/>
      <c r="DA588" s="196"/>
      <c r="DC588" s="169"/>
      <c r="DD588" s="177"/>
      <c r="DE588" s="177"/>
      <c r="DF588" s="177"/>
      <c r="DG588" s="177"/>
      <c r="DH588" s="177"/>
      <c r="DI588" s="177"/>
      <c r="DJ588" s="177"/>
      <c r="DK588" s="177"/>
      <c r="DL588" s="177"/>
      <c r="DM588" s="177"/>
      <c r="DN588" s="177"/>
      <c r="DO588" s="177"/>
      <c r="DP588" s="177"/>
      <c r="DQ588" s="172"/>
      <c r="DR588" s="172"/>
      <c r="DS588" s="172"/>
      <c r="DT588" s="172"/>
      <c r="DU588" s="172"/>
      <c r="DV588" s="196"/>
    </row>
    <row r="589" spans="1:126" x14ac:dyDescent="0.2">
      <c r="A589" s="3">
        <v>170</v>
      </c>
      <c r="B589" s="3" t="s">
        <v>284</v>
      </c>
      <c r="CG589" s="179"/>
      <c r="CH589" s="169"/>
      <c r="CI589" s="177"/>
      <c r="CJ589" s="177"/>
      <c r="CK589" s="177"/>
      <c r="CL589" s="177"/>
      <c r="CM589" s="177"/>
      <c r="CN589" s="177"/>
      <c r="CO589" s="177"/>
      <c r="CP589" s="177"/>
      <c r="CQ589" s="177"/>
      <c r="CR589" s="177"/>
      <c r="CS589" s="177"/>
      <c r="CT589" s="177"/>
      <c r="CU589" s="177"/>
      <c r="CV589" s="172"/>
      <c r="CW589" s="172"/>
      <c r="CX589" s="172"/>
      <c r="CY589" s="172"/>
      <c r="CZ589" s="172"/>
      <c r="DA589" s="196"/>
      <c r="DC589" s="169"/>
      <c r="DD589" s="177"/>
      <c r="DE589" s="177"/>
      <c r="DF589" s="177"/>
      <c r="DG589" s="177"/>
      <c r="DH589" s="177"/>
      <c r="DI589" s="177"/>
      <c r="DJ589" s="177"/>
      <c r="DK589" s="177"/>
      <c r="DL589" s="177"/>
      <c r="DM589" s="177"/>
      <c r="DN589" s="177"/>
      <c r="DO589" s="177"/>
      <c r="DP589" s="177"/>
      <c r="DQ589" s="172"/>
      <c r="DR589" s="172"/>
      <c r="DS589" s="172"/>
      <c r="DT589" s="172"/>
      <c r="DU589" s="172"/>
      <c r="DV589" s="196"/>
    </row>
    <row r="590" spans="1:126" x14ac:dyDescent="0.2">
      <c r="A590" s="3">
        <v>171</v>
      </c>
      <c r="B590" s="3" t="s">
        <v>285</v>
      </c>
      <c r="CG590" s="179"/>
      <c r="CH590" s="169"/>
      <c r="CI590" s="177"/>
      <c r="CJ590" s="177"/>
      <c r="CK590" s="177"/>
      <c r="CL590" s="177"/>
      <c r="CM590" s="177"/>
      <c r="CN590" s="177"/>
      <c r="CO590" s="177"/>
      <c r="CP590" s="177"/>
      <c r="CQ590" s="177"/>
      <c r="CR590" s="177"/>
      <c r="CS590" s="177"/>
      <c r="CT590" s="177"/>
      <c r="CU590" s="177"/>
      <c r="CV590" s="172"/>
      <c r="CW590" s="172"/>
      <c r="CX590" s="172"/>
      <c r="CY590" s="172"/>
      <c r="CZ590" s="172"/>
      <c r="DA590" s="196"/>
      <c r="DC590" s="169"/>
      <c r="DD590" s="177"/>
      <c r="DE590" s="177"/>
      <c r="DF590" s="177"/>
      <c r="DG590" s="177"/>
      <c r="DH590" s="177"/>
      <c r="DI590" s="177"/>
      <c r="DJ590" s="177"/>
      <c r="DK590" s="177"/>
      <c r="DL590" s="177"/>
      <c r="DM590" s="177"/>
      <c r="DN590" s="177"/>
      <c r="DO590" s="177"/>
      <c r="DP590" s="177"/>
      <c r="DQ590" s="172"/>
      <c r="DR590" s="172"/>
      <c r="DS590" s="172"/>
      <c r="DT590" s="172"/>
      <c r="DU590" s="172"/>
      <c r="DV590" s="196"/>
    </row>
    <row r="591" spans="1:126" x14ac:dyDescent="0.2">
      <c r="A591" s="3">
        <v>172</v>
      </c>
      <c r="B591" s="3" t="s">
        <v>286</v>
      </c>
      <c r="CG591" s="179"/>
      <c r="CH591" s="169"/>
      <c r="CI591" s="177"/>
      <c r="CJ591" s="177"/>
      <c r="CK591" s="177"/>
      <c r="CL591" s="177"/>
      <c r="CM591" s="177"/>
      <c r="CN591" s="177"/>
      <c r="CO591" s="177"/>
      <c r="CP591" s="177"/>
      <c r="CQ591" s="177"/>
      <c r="CR591" s="177"/>
      <c r="CS591" s="177"/>
      <c r="CT591" s="177"/>
      <c r="CU591" s="177"/>
      <c r="CV591" s="172"/>
      <c r="CW591" s="172"/>
      <c r="CX591" s="172"/>
      <c r="CY591" s="172"/>
      <c r="CZ591" s="172"/>
      <c r="DA591" s="196"/>
      <c r="DC591" s="169"/>
      <c r="DD591" s="177"/>
      <c r="DE591" s="177"/>
      <c r="DF591" s="177"/>
      <c r="DG591" s="177"/>
      <c r="DH591" s="177"/>
      <c r="DI591" s="177"/>
      <c r="DJ591" s="177"/>
      <c r="DK591" s="177"/>
      <c r="DL591" s="177"/>
      <c r="DM591" s="177"/>
      <c r="DN591" s="177"/>
      <c r="DO591" s="177"/>
      <c r="DP591" s="177"/>
      <c r="DQ591" s="172"/>
      <c r="DR591" s="172"/>
      <c r="DS591" s="172"/>
      <c r="DT591" s="172"/>
      <c r="DU591" s="172"/>
      <c r="DV591" s="196"/>
    </row>
    <row r="592" spans="1:126" x14ac:dyDescent="0.2">
      <c r="A592" s="3">
        <v>173</v>
      </c>
      <c r="B592" s="3" t="s">
        <v>287</v>
      </c>
      <c r="CG592" s="179"/>
      <c r="CH592" s="169"/>
      <c r="CI592" s="177"/>
      <c r="CJ592" s="177"/>
      <c r="CK592" s="177"/>
      <c r="CL592" s="177"/>
      <c r="CM592" s="177"/>
      <c r="CN592" s="177"/>
      <c r="CO592" s="177"/>
      <c r="CP592" s="177"/>
      <c r="CQ592" s="177"/>
      <c r="CR592" s="177"/>
      <c r="CS592" s="177"/>
      <c r="CT592" s="177"/>
      <c r="CU592" s="177"/>
      <c r="CV592" s="172"/>
      <c r="CW592" s="172"/>
      <c r="CX592" s="172"/>
      <c r="CY592" s="172"/>
      <c r="CZ592" s="172"/>
      <c r="DA592" s="196"/>
      <c r="DC592" s="169"/>
      <c r="DD592" s="177"/>
      <c r="DE592" s="177"/>
      <c r="DF592" s="177"/>
      <c r="DG592" s="177"/>
      <c r="DH592" s="177"/>
      <c r="DI592" s="177"/>
      <c r="DJ592" s="177"/>
      <c r="DK592" s="177"/>
      <c r="DL592" s="177"/>
      <c r="DM592" s="177"/>
      <c r="DN592" s="177"/>
      <c r="DO592" s="177"/>
      <c r="DP592" s="177"/>
      <c r="DQ592" s="172"/>
      <c r="DR592" s="172"/>
      <c r="DS592" s="172"/>
      <c r="DT592" s="172"/>
      <c r="DU592" s="172"/>
      <c r="DV592" s="196"/>
    </row>
    <row r="593" spans="1:126" x14ac:dyDescent="0.2">
      <c r="A593" s="3">
        <v>174</v>
      </c>
      <c r="B593" s="3" t="s">
        <v>288</v>
      </c>
      <c r="CG593" s="179"/>
      <c r="CH593" s="197"/>
      <c r="CI593" s="180"/>
      <c r="CJ593" s="180"/>
      <c r="CK593" s="180"/>
      <c r="CL593" s="180"/>
      <c r="CM593" s="180"/>
      <c r="CN593" s="180"/>
      <c r="CO593" s="180"/>
      <c r="CP593" s="180"/>
      <c r="CQ593" s="180"/>
      <c r="CR593" s="180"/>
      <c r="CS593" s="180"/>
      <c r="CT593" s="180"/>
      <c r="CU593" s="180"/>
      <c r="CV593" s="173"/>
      <c r="CW593" s="173"/>
      <c r="CX593" s="173"/>
      <c r="CY593" s="173"/>
      <c r="CZ593" s="173"/>
      <c r="DA593" s="198"/>
      <c r="DC593" s="197"/>
      <c r="DD593" s="180"/>
      <c r="DE593" s="180"/>
      <c r="DF593" s="180"/>
      <c r="DG593" s="180"/>
      <c r="DH593" s="180"/>
      <c r="DI593" s="180"/>
      <c r="DJ593" s="180"/>
      <c r="DK593" s="180"/>
      <c r="DL593" s="180"/>
      <c r="DM593" s="180"/>
      <c r="DN593" s="180"/>
      <c r="DO593" s="180"/>
      <c r="DP593" s="180"/>
      <c r="DQ593" s="173"/>
      <c r="DR593" s="173"/>
      <c r="DS593" s="173"/>
      <c r="DT593" s="173"/>
      <c r="DU593" s="173"/>
      <c r="DV593" s="198"/>
    </row>
    <row r="594" spans="1:126" x14ac:dyDescent="0.2">
      <c r="A594" s="3">
        <v>175</v>
      </c>
      <c r="B594" s="3" t="s">
        <v>289</v>
      </c>
      <c r="CG594" s="179"/>
      <c r="CH594" s="197"/>
      <c r="CI594" s="180"/>
      <c r="CJ594" s="180"/>
      <c r="CK594" s="180"/>
      <c r="CL594" s="180"/>
      <c r="CM594" s="180"/>
      <c r="CN594" s="180"/>
      <c r="CO594" s="180"/>
      <c r="CP594" s="180"/>
      <c r="CQ594" s="180"/>
      <c r="CR594" s="180"/>
      <c r="CS594" s="180"/>
      <c r="CT594" s="180"/>
      <c r="CU594" s="180"/>
      <c r="CV594" s="173"/>
      <c r="CW594" s="173"/>
      <c r="CX594" s="173"/>
      <c r="CY594" s="173"/>
      <c r="CZ594" s="173"/>
      <c r="DA594" s="198"/>
      <c r="DC594" s="197"/>
      <c r="DD594" s="180"/>
      <c r="DE594" s="180"/>
      <c r="DF594" s="180"/>
      <c r="DG594" s="180"/>
      <c r="DH594" s="180"/>
      <c r="DI594" s="180"/>
      <c r="DJ594" s="180"/>
      <c r="DK594" s="180"/>
      <c r="DL594" s="180"/>
      <c r="DM594" s="180"/>
      <c r="DN594" s="180"/>
      <c r="DO594" s="180"/>
      <c r="DP594" s="180"/>
      <c r="DQ594" s="173"/>
      <c r="DR594" s="173"/>
      <c r="DS594" s="173"/>
      <c r="DT594" s="173"/>
      <c r="DU594" s="173"/>
      <c r="DV594" s="198"/>
    </row>
    <row r="595" spans="1:126" x14ac:dyDescent="0.2">
      <c r="A595" s="3">
        <v>176</v>
      </c>
      <c r="B595" s="3" t="s">
        <v>290</v>
      </c>
      <c r="CG595" s="179"/>
      <c r="CH595" s="197"/>
      <c r="CI595" s="180"/>
      <c r="CJ595" s="180"/>
      <c r="CK595" s="180"/>
      <c r="CL595" s="180"/>
      <c r="CM595" s="180"/>
      <c r="CN595" s="180"/>
      <c r="CO595" s="180"/>
      <c r="CP595" s="180"/>
      <c r="CQ595" s="180"/>
      <c r="CR595" s="180"/>
      <c r="CS595" s="180"/>
      <c r="CT595" s="180"/>
      <c r="CU595" s="180"/>
      <c r="CV595" s="173"/>
      <c r="CW595" s="173"/>
      <c r="CX595" s="173"/>
      <c r="CY595" s="173"/>
      <c r="CZ595" s="173"/>
      <c r="DA595" s="198"/>
      <c r="DC595" s="197"/>
      <c r="DD595" s="180"/>
      <c r="DE595" s="180"/>
      <c r="DF595" s="180"/>
      <c r="DG595" s="180"/>
      <c r="DH595" s="180"/>
      <c r="DI595" s="180"/>
      <c r="DJ595" s="180"/>
      <c r="DK595" s="180"/>
      <c r="DL595" s="180"/>
      <c r="DM595" s="180"/>
      <c r="DN595" s="180"/>
      <c r="DO595" s="180"/>
      <c r="DP595" s="180"/>
      <c r="DQ595" s="173"/>
      <c r="DR595" s="173"/>
      <c r="DS595" s="173"/>
      <c r="DT595" s="173"/>
      <c r="DU595" s="173"/>
      <c r="DV595" s="198"/>
    </row>
    <row r="596" spans="1:126" x14ac:dyDescent="0.2">
      <c r="A596" s="3">
        <v>177</v>
      </c>
      <c r="B596" s="3" t="s">
        <v>291</v>
      </c>
      <c r="CG596" s="179"/>
      <c r="CH596" s="197"/>
      <c r="CI596" s="180"/>
      <c r="CJ596" s="180"/>
      <c r="CK596" s="180"/>
      <c r="CL596" s="180"/>
      <c r="CM596" s="180"/>
      <c r="CN596" s="180"/>
      <c r="CO596" s="180"/>
      <c r="CP596" s="180"/>
      <c r="CQ596" s="180"/>
      <c r="CR596" s="180"/>
      <c r="CS596" s="180"/>
      <c r="CT596" s="180"/>
      <c r="CU596" s="180"/>
      <c r="CV596" s="173"/>
      <c r="CW596" s="173"/>
      <c r="CX596" s="173"/>
      <c r="CY596" s="173"/>
      <c r="CZ596" s="173"/>
      <c r="DA596" s="198"/>
      <c r="DC596" s="197"/>
      <c r="DD596" s="180"/>
      <c r="DE596" s="180"/>
      <c r="DF596" s="180"/>
      <c r="DG596" s="180"/>
      <c r="DH596" s="180"/>
      <c r="DI596" s="180"/>
      <c r="DJ596" s="180"/>
      <c r="DK596" s="180"/>
      <c r="DL596" s="180"/>
      <c r="DM596" s="180"/>
      <c r="DN596" s="180"/>
      <c r="DO596" s="180"/>
      <c r="DP596" s="180"/>
      <c r="DQ596" s="173"/>
      <c r="DR596" s="173"/>
      <c r="DS596" s="173"/>
      <c r="DT596" s="173"/>
      <c r="DU596" s="173"/>
      <c r="DV596" s="198"/>
    </row>
    <row r="597" spans="1:126" x14ac:dyDescent="0.2">
      <c r="A597" s="3">
        <v>178</v>
      </c>
      <c r="B597" s="3" t="s">
        <v>292</v>
      </c>
      <c r="CG597" s="179"/>
      <c r="CH597" s="197"/>
      <c r="CI597" s="180"/>
      <c r="CJ597" s="180"/>
      <c r="CK597" s="180"/>
      <c r="CL597" s="180"/>
      <c r="CM597" s="180"/>
      <c r="CN597" s="180"/>
      <c r="CO597" s="180"/>
      <c r="CP597" s="180"/>
      <c r="CQ597" s="180"/>
      <c r="CR597" s="180"/>
      <c r="CS597" s="180"/>
      <c r="CT597" s="180"/>
      <c r="CU597" s="180"/>
      <c r="CV597" s="173"/>
      <c r="CW597" s="173"/>
      <c r="CX597" s="173"/>
      <c r="CY597" s="173"/>
      <c r="CZ597" s="173"/>
      <c r="DA597" s="198"/>
      <c r="DC597" s="197"/>
      <c r="DD597" s="180"/>
      <c r="DE597" s="180"/>
      <c r="DF597" s="180"/>
      <c r="DG597" s="180"/>
      <c r="DH597" s="180"/>
      <c r="DI597" s="180"/>
      <c r="DJ597" s="180"/>
      <c r="DK597" s="180"/>
      <c r="DL597" s="180"/>
      <c r="DM597" s="180"/>
      <c r="DN597" s="180"/>
      <c r="DO597" s="180"/>
      <c r="DP597" s="180"/>
      <c r="DQ597" s="173"/>
      <c r="DR597" s="173"/>
      <c r="DS597" s="173"/>
      <c r="DT597" s="173"/>
      <c r="DU597" s="173"/>
      <c r="DV597" s="198"/>
    </row>
    <row r="598" spans="1:126" x14ac:dyDescent="0.2">
      <c r="A598" s="3">
        <v>179</v>
      </c>
      <c r="B598" s="3" t="s">
        <v>293</v>
      </c>
      <c r="CG598" s="176"/>
      <c r="CH598" s="197"/>
      <c r="CI598" s="180"/>
      <c r="CJ598" s="180"/>
      <c r="CK598" s="180"/>
      <c r="CL598" s="180"/>
      <c r="CM598" s="180"/>
      <c r="CN598" s="180"/>
      <c r="CO598" s="180"/>
      <c r="CP598" s="180"/>
      <c r="CQ598" s="180"/>
      <c r="CR598" s="180"/>
      <c r="CS598" s="180"/>
      <c r="CT598" s="180"/>
      <c r="CU598" s="180"/>
      <c r="CV598" s="173"/>
      <c r="CW598" s="173"/>
      <c r="CX598" s="173"/>
      <c r="CY598" s="173"/>
      <c r="CZ598" s="173"/>
      <c r="DA598" s="198"/>
      <c r="DC598" s="197"/>
      <c r="DD598" s="180"/>
      <c r="DE598" s="180"/>
      <c r="DF598" s="180"/>
      <c r="DG598" s="180"/>
      <c r="DH598" s="180"/>
      <c r="DI598" s="180"/>
      <c r="DJ598" s="180"/>
      <c r="DK598" s="180"/>
      <c r="DL598" s="180"/>
      <c r="DM598" s="180"/>
      <c r="DN598" s="180"/>
      <c r="DO598" s="180"/>
      <c r="DP598" s="180"/>
      <c r="DQ598" s="173"/>
      <c r="DR598" s="173"/>
      <c r="DS598" s="173"/>
      <c r="DT598" s="173"/>
      <c r="DU598" s="173"/>
      <c r="DV598" s="198"/>
    </row>
    <row r="599" spans="1:126" x14ac:dyDescent="0.2">
      <c r="A599" s="3">
        <v>180</v>
      </c>
      <c r="B599" s="3" t="s">
        <v>294</v>
      </c>
      <c r="CG599" s="176"/>
      <c r="CH599" s="197"/>
      <c r="CI599" s="180"/>
      <c r="CJ599" s="180"/>
      <c r="CK599" s="180"/>
      <c r="CL599" s="180"/>
      <c r="CM599" s="180"/>
      <c r="CN599" s="180"/>
      <c r="CO599" s="180"/>
      <c r="CP599" s="180"/>
      <c r="CQ599" s="180"/>
      <c r="CR599" s="180"/>
      <c r="CS599" s="180"/>
      <c r="CT599" s="180"/>
      <c r="CU599" s="180"/>
      <c r="CV599" s="173"/>
      <c r="CW599" s="173"/>
      <c r="CX599" s="173"/>
      <c r="CY599" s="173"/>
      <c r="CZ599" s="173"/>
      <c r="DA599" s="198"/>
      <c r="DC599" s="197"/>
      <c r="DD599" s="180"/>
      <c r="DE599" s="180"/>
      <c r="DF599" s="180"/>
      <c r="DG599" s="180"/>
      <c r="DH599" s="180"/>
      <c r="DI599" s="180"/>
      <c r="DJ599" s="180"/>
      <c r="DK599" s="180"/>
      <c r="DL599" s="180"/>
      <c r="DM599" s="180"/>
      <c r="DN599" s="180"/>
      <c r="DO599" s="180"/>
      <c r="DP599" s="180"/>
      <c r="DQ599" s="173"/>
      <c r="DR599" s="173"/>
      <c r="DS599" s="173"/>
      <c r="DT599" s="173"/>
      <c r="DU599" s="173"/>
      <c r="DV599" s="198"/>
    </row>
    <row r="600" spans="1:126" x14ac:dyDescent="0.2">
      <c r="A600" s="3">
        <v>181</v>
      </c>
      <c r="B600" s="3" t="s">
        <v>295</v>
      </c>
      <c r="CG600" s="176"/>
      <c r="CH600" s="199"/>
      <c r="CI600" s="200"/>
      <c r="CJ600" s="200"/>
      <c r="CK600" s="200"/>
      <c r="CL600" s="200"/>
      <c r="CM600" s="200"/>
      <c r="CN600" s="200"/>
      <c r="CO600" s="200"/>
      <c r="CP600" s="200"/>
      <c r="CQ600" s="201"/>
      <c r="CR600" s="202"/>
      <c r="CS600" s="200"/>
      <c r="CT600" s="200"/>
      <c r="CU600" s="200"/>
      <c r="CV600" s="203"/>
      <c r="CW600" s="203"/>
      <c r="CX600" s="203"/>
      <c r="CY600" s="203"/>
      <c r="CZ600" s="203"/>
      <c r="DA600" s="204"/>
      <c r="DC600" s="199"/>
      <c r="DD600" s="200"/>
      <c r="DE600" s="200"/>
      <c r="DF600" s="200"/>
      <c r="DG600" s="200"/>
      <c r="DH600" s="200"/>
      <c r="DI600" s="200"/>
      <c r="DJ600" s="200"/>
      <c r="DK600" s="200"/>
      <c r="DL600" s="200"/>
      <c r="DM600" s="200"/>
      <c r="DN600" s="200"/>
      <c r="DO600" s="200"/>
      <c r="DP600" s="200"/>
      <c r="DQ600" s="203"/>
      <c r="DR600" s="203"/>
      <c r="DS600" s="203"/>
      <c r="DT600" s="203"/>
      <c r="DU600" s="203"/>
      <c r="DV600" s="204"/>
    </row>
    <row r="601" spans="1:126" x14ac:dyDescent="0.2">
      <c r="A601" s="3">
        <v>182</v>
      </c>
      <c r="B601" s="3" t="s">
        <v>296</v>
      </c>
      <c r="CG601" s="176">
        <v>31</v>
      </c>
      <c r="CH601" s="192"/>
      <c r="CI601" s="193"/>
      <c r="CJ601" s="193"/>
      <c r="CK601" s="193"/>
      <c r="CL601" s="193"/>
      <c r="CM601" s="193"/>
      <c r="CN601" s="193"/>
      <c r="CO601" s="193"/>
      <c r="CP601" s="193"/>
      <c r="CQ601" s="193"/>
      <c r="CR601" s="193"/>
      <c r="CS601" s="193"/>
      <c r="CT601" s="193"/>
      <c r="CU601" s="193"/>
      <c r="CV601" s="194"/>
      <c r="CW601" s="194"/>
      <c r="CX601" s="194"/>
      <c r="CY601" s="194"/>
      <c r="CZ601" s="194"/>
      <c r="DA601" s="195"/>
      <c r="DC601" s="192"/>
      <c r="DD601" s="193"/>
      <c r="DE601" s="193"/>
      <c r="DF601" s="193"/>
      <c r="DG601" s="193"/>
      <c r="DH601" s="193"/>
      <c r="DI601" s="193"/>
      <c r="DJ601" s="193"/>
      <c r="DK601" s="193"/>
      <c r="DL601" s="193"/>
      <c r="DM601" s="193"/>
      <c r="DN601" s="193"/>
      <c r="DO601" s="193"/>
      <c r="DP601" s="193"/>
      <c r="DQ601" s="194"/>
      <c r="DR601" s="194"/>
      <c r="DS601" s="194"/>
      <c r="DT601" s="194"/>
      <c r="DU601" s="194"/>
      <c r="DV601" s="195"/>
    </row>
    <row r="602" spans="1:126" x14ac:dyDescent="0.2">
      <c r="A602" s="3">
        <v>183</v>
      </c>
      <c r="B602" s="3" t="s">
        <v>297</v>
      </c>
      <c r="CG602" s="176"/>
      <c r="CH602" s="169"/>
      <c r="CI602" s="177"/>
      <c r="CJ602" s="177"/>
      <c r="CK602" s="177"/>
      <c r="CL602" s="177"/>
      <c r="CM602" s="177"/>
      <c r="CN602" s="177"/>
      <c r="CO602" s="177"/>
      <c r="CP602" s="177"/>
      <c r="CQ602" s="177"/>
      <c r="CR602" s="177"/>
      <c r="CS602" s="177"/>
      <c r="CT602" s="177"/>
      <c r="CU602" s="177"/>
      <c r="CV602" s="172"/>
      <c r="CW602" s="172"/>
      <c r="CX602" s="172"/>
      <c r="CY602" s="172"/>
      <c r="CZ602" s="172"/>
      <c r="DA602" s="196"/>
      <c r="DC602" s="169"/>
      <c r="DD602" s="177"/>
      <c r="DE602" s="177"/>
      <c r="DF602" s="177"/>
      <c r="DG602" s="177"/>
      <c r="DH602" s="177"/>
      <c r="DI602" s="177"/>
      <c r="DJ602" s="177"/>
      <c r="DK602" s="177"/>
      <c r="DL602" s="177"/>
      <c r="DM602" s="177"/>
      <c r="DN602" s="177"/>
      <c r="DO602" s="177"/>
      <c r="DP602" s="177"/>
      <c r="DQ602" s="172"/>
      <c r="DR602" s="172"/>
      <c r="DS602" s="172"/>
      <c r="DT602" s="172"/>
      <c r="DU602" s="172"/>
      <c r="DV602" s="196"/>
    </row>
    <row r="603" spans="1:126" x14ac:dyDescent="0.2">
      <c r="A603" s="3">
        <v>184</v>
      </c>
      <c r="B603" s="3" t="s">
        <v>298</v>
      </c>
      <c r="CG603" s="131"/>
      <c r="CH603" s="169"/>
      <c r="CI603" s="177"/>
      <c r="CJ603" s="177"/>
      <c r="CK603" s="177"/>
      <c r="CL603" s="177"/>
      <c r="CM603" s="177"/>
      <c r="CN603" s="177"/>
      <c r="CO603" s="177"/>
      <c r="CP603" s="177"/>
      <c r="CQ603" s="177"/>
      <c r="CR603" s="177"/>
      <c r="CS603" s="177"/>
      <c r="CT603" s="177"/>
      <c r="CU603" s="177"/>
      <c r="CV603" s="172"/>
      <c r="CW603" s="172"/>
      <c r="CX603" s="172"/>
      <c r="CY603" s="172"/>
      <c r="CZ603" s="172"/>
      <c r="DA603" s="196"/>
      <c r="DC603" s="169"/>
      <c r="DD603" s="177"/>
      <c r="DE603" s="177"/>
      <c r="DF603" s="177"/>
      <c r="DG603" s="177"/>
      <c r="DH603" s="177"/>
      <c r="DI603" s="177"/>
      <c r="DJ603" s="177"/>
      <c r="DK603" s="177"/>
      <c r="DL603" s="177"/>
      <c r="DM603" s="177"/>
      <c r="DN603" s="177"/>
      <c r="DO603" s="177"/>
      <c r="DP603" s="177"/>
      <c r="DQ603" s="172"/>
      <c r="DR603" s="172"/>
      <c r="DS603" s="172"/>
      <c r="DT603" s="172"/>
      <c r="DU603" s="172"/>
      <c r="DV603" s="196"/>
    </row>
    <row r="604" spans="1:126" x14ac:dyDescent="0.2">
      <c r="A604" s="3">
        <v>185</v>
      </c>
      <c r="B604" s="3" t="s">
        <v>299</v>
      </c>
      <c r="CG604" s="176"/>
      <c r="CH604" s="169"/>
      <c r="CI604" s="177"/>
      <c r="CJ604" s="177"/>
      <c r="CK604" s="177"/>
      <c r="CL604" s="177"/>
      <c r="CM604" s="177"/>
      <c r="CN604" s="177"/>
      <c r="CO604" s="177"/>
      <c r="CP604" s="177"/>
      <c r="CQ604" s="177"/>
      <c r="CR604" s="177"/>
      <c r="CS604" s="177"/>
      <c r="CT604" s="177"/>
      <c r="CU604" s="177"/>
      <c r="CV604" s="172"/>
      <c r="CW604" s="172"/>
      <c r="CX604" s="172"/>
      <c r="CY604" s="172"/>
      <c r="CZ604" s="172"/>
      <c r="DA604" s="196"/>
      <c r="DC604" s="169"/>
      <c r="DD604" s="177"/>
      <c r="DE604" s="177"/>
      <c r="DF604" s="177"/>
      <c r="DG604" s="177"/>
      <c r="DH604" s="177"/>
      <c r="DI604" s="177"/>
      <c r="DJ604" s="177"/>
      <c r="DK604" s="177"/>
      <c r="DL604" s="177"/>
      <c r="DM604" s="177"/>
      <c r="DN604" s="177"/>
      <c r="DO604" s="177"/>
      <c r="DP604" s="177"/>
      <c r="DQ604" s="172"/>
      <c r="DR604" s="172"/>
      <c r="DS604" s="172"/>
      <c r="DT604" s="172"/>
      <c r="DU604" s="172"/>
      <c r="DV604" s="196"/>
    </row>
    <row r="605" spans="1:126" x14ac:dyDescent="0.2">
      <c r="A605" s="3">
        <v>186</v>
      </c>
      <c r="B605" s="3" t="s">
        <v>300</v>
      </c>
      <c r="CG605" s="178"/>
      <c r="CH605" s="169"/>
      <c r="CI605" s="177"/>
      <c r="CJ605" s="177"/>
      <c r="CK605" s="177"/>
      <c r="CL605" s="177"/>
      <c r="CM605" s="177"/>
      <c r="CN605" s="177"/>
      <c r="CO605" s="177"/>
      <c r="CP605" s="177"/>
      <c r="CQ605" s="177"/>
      <c r="CR605" s="177"/>
      <c r="CS605" s="177"/>
      <c r="CT605" s="177"/>
      <c r="CU605" s="177"/>
      <c r="CV605" s="172"/>
      <c r="CW605" s="172"/>
      <c r="CX605" s="172"/>
      <c r="CY605" s="172"/>
      <c r="CZ605" s="172"/>
      <c r="DA605" s="196"/>
      <c r="DC605" s="169"/>
      <c r="DD605" s="177"/>
      <c r="DE605" s="177"/>
      <c r="DF605" s="177"/>
      <c r="DG605" s="177"/>
      <c r="DH605" s="177"/>
      <c r="DI605" s="177"/>
      <c r="DJ605" s="177"/>
      <c r="DK605" s="177"/>
      <c r="DL605" s="177"/>
      <c r="DM605" s="177"/>
      <c r="DN605" s="177"/>
      <c r="DO605" s="177"/>
      <c r="DP605" s="177"/>
      <c r="DQ605" s="172"/>
      <c r="DR605" s="172"/>
      <c r="DS605" s="172"/>
      <c r="DT605" s="172"/>
      <c r="DU605" s="172"/>
      <c r="DV605" s="196"/>
    </row>
    <row r="606" spans="1:126" x14ac:dyDescent="0.2">
      <c r="A606" s="3">
        <v>187</v>
      </c>
      <c r="B606" s="3" t="s">
        <v>301</v>
      </c>
      <c r="CG606" s="179"/>
      <c r="CH606" s="169"/>
      <c r="CI606" s="177"/>
      <c r="CJ606" s="177"/>
      <c r="CK606" s="177"/>
      <c r="CL606" s="177"/>
      <c r="CM606" s="177"/>
      <c r="CN606" s="177"/>
      <c r="CO606" s="177"/>
      <c r="CP606" s="177"/>
      <c r="CQ606" s="177"/>
      <c r="CR606" s="177"/>
      <c r="CS606" s="177"/>
      <c r="CT606" s="177"/>
      <c r="CU606" s="177"/>
      <c r="CV606" s="172"/>
      <c r="CW606" s="172"/>
      <c r="CX606" s="172"/>
      <c r="CY606" s="172"/>
      <c r="CZ606" s="172"/>
      <c r="DA606" s="196"/>
      <c r="DC606" s="169"/>
      <c r="DD606" s="177"/>
      <c r="DE606" s="177"/>
      <c r="DF606" s="177"/>
      <c r="DG606" s="177"/>
      <c r="DH606" s="177"/>
      <c r="DI606" s="177"/>
      <c r="DJ606" s="177"/>
      <c r="DK606" s="177"/>
      <c r="DL606" s="177"/>
      <c r="DM606" s="177"/>
      <c r="DN606" s="177"/>
      <c r="DO606" s="177"/>
      <c r="DP606" s="177"/>
      <c r="DQ606" s="172"/>
      <c r="DR606" s="172"/>
      <c r="DS606" s="172"/>
      <c r="DT606" s="172"/>
      <c r="DU606" s="172"/>
      <c r="DV606" s="196"/>
    </row>
    <row r="607" spans="1:126" x14ac:dyDescent="0.2">
      <c r="A607" s="3">
        <v>188</v>
      </c>
      <c r="B607" s="3" t="s">
        <v>302</v>
      </c>
      <c r="CG607" s="179"/>
      <c r="CH607" s="169"/>
      <c r="CI607" s="177"/>
      <c r="CJ607" s="177"/>
      <c r="CK607" s="177"/>
      <c r="CL607" s="177"/>
      <c r="CM607" s="177"/>
      <c r="CN607" s="177"/>
      <c r="CO607" s="177"/>
      <c r="CP607" s="177"/>
      <c r="CQ607" s="177"/>
      <c r="CR607" s="177"/>
      <c r="CS607" s="177"/>
      <c r="CT607" s="177"/>
      <c r="CU607" s="177"/>
      <c r="CV607" s="172"/>
      <c r="CW607" s="172"/>
      <c r="CX607" s="172"/>
      <c r="CY607" s="172"/>
      <c r="CZ607" s="172"/>
      <c r="DA607" s="196"/>
      <c r="DC607" s="169"/>
      <c r="DD607" s="177"/>
      <c r="DE607" s="177"/>
      <c r="DF607" s="177"/>
      <c r="DG607" s="177"/>
      <c r="DH607" s="177"/>
      <c r="DI607" s="177"/>
      <c r="DJ607" s="177"/>
      <c r="DK607" s="177"/>
      <c r="DL607" s="177"/>
      <c r="DM607" s="177"/>
      <c r="DN607" s="177"/>
      <c r="DO607" s="177"/>
      <c r="DP607" s="177"/>
      <c r="DQ607" s="172"/>
      <c r="DR607" s="172"/>
      <c r="DS607" s="172"/>
      <c r="DT607" s="172"/>
      <c r="DU607" s="172"/>
      <c r="DV607" s="196"/>
    </row>
    <row r="608" spans="1:126" x14ac:dyDescent="0.2">
      <c r="A608" s="3">
        <v>189</v>
      </c>
      <c r="B608" s="3" t="s">
        <v>303</v>
      </c>
      <c r="CG608" s="179"/>
      <c r="CH608" s="169"/>
      <c r="CI608" s="177"/>
      <c r="CJ608" s="177"/>
      <c r="CK608" s="177"/>
      <c r="CL608" s="177"/>
      <c r="CM608" s="177"/>
      <c r="CN608" s="177"/>
      <c r="CO608" s="177"/>
      <c r="CP608" s="177"/>
      <c r="CQ608" s="177"/>
      <c r="CR608" s="177"/>
      <c r="CS608" s="177"/>
      <c r="CT608" s="177"/>
      <c r="CU608" s="177"/>
      <c r="CV608" s="172"/>
      <c r="CW608" s="172"/>
      <c r="CX608" s="172"/>
      <c r="CY608" s="172"/>
      <c r="CZ608" s="172"/>
      <c r="DA608" s="196"/>
      <c r="DC608" s="169"/>
      <c r="DD608" s="177"/>
      <c r="DE608" s="177"/>
      <c r="DF608" s="177"/>
      <c r="DG608" s="177"/>
      <c r="DH608" s="177"/>
      <c r="DI608" s="177"/>
      <c r="DJ608" s="177"/>
      <c r="DK608" s="177"/>
      <c r="DL608" s="177"/>
      <c r="DM608" s="177"/>
      <c r="DN608" s="177"/>
      <c r="DO608" s="177"/>
      <c r="DP608" s="177"/>
      <c r="DQ608" s="172"/>
      <c r="DR608" s="172"/>
      <c r="DS608" s="172"/>
      <c r="DT608" s="172"/>
      <c r="DU608" s="172"/>
      <c r="DV608" s="196"/>
    </row>
    <row r="609" spans="1:126" x14ac:dyDescent="0.2">
      <c r="A609" s="3">
        <v>190</v>
      </c>
      <c r="B609" s="3" t="s">
        <v>304</v>
      </c>
      <c r="CG609" s="179"/>
      <c r="CH609" s="169"/>
      <c r="CI609" s="177"/>
      <c r="CJ609" s="177"/>
      <c r="CK609" s="177"/>
      <c r="CL609" s="177"/>
      <c r="CM609" s="177"/>
      <c r="CN609" s="177"/>
      <c r="CO609" s="177"/>
      <c r="CP609" s="177"/>
      <c r="CQ609" s="177"/>
      <c r="CR609" s="177"/>
      <c r="CS609" s="177"/>
      <c r="CT609" s="177"/>
      <c r="CU609" s="177"/>
      <c r="CV609" s="172"/>
      <c r="CW609" s="172"/>
      <c r="CX609" s="172"/>
      <c r="CY609" s="172"/>
      <c r="CZ609" s="172"/>
      <c r="DA609" s="196"/>
      <c r="DC609" s="169"/>
      <c r="DD609" s="177"/>
      <c r="DE609" s="177"/>
      <c r="DF609" s="177"/>
      <c r="DG609" s="177"/>
      <c r="DH609" s="177"/>
      <c r="DI609" s="177"/>
      <c r="DJ609" s="177"/>
      <c r="DK609" s="177"/>
      <c r="DL609" s="177"/>
      <c r="DM609" s="177"/>
      <c r="DN609" s="177"/>
      <c r="DO609" s="177"/>
      <c r="DP609" s="177"/>
      <c r="DQ609" s="172"/>
      <c r="DR609" s="172"/>
      <c r="DS609" s="172"/>
      <c r="DT609" s="172"/>
      <c r="DU609" s="172"/>
      <c r="DV609" s="196"/>
    </row>
    <row r="610" spans="1:126" x14ac:dyDescent="0.2">
      <c r="A610" s="3">
        <v>191</v>
      </c>
      <c r="B610" s="3" t="s">
        <v>305</v>
      </c>
      <c r="CG610" s="179"/>
      <c r="CH610" s="169"/>
      <c r="CI610" s="177"/>
      <c r="CJ610" s="177"/>
      <c r="CK610" s="177"/>
      <c r="CL610" s="177"/>
      <c r="CM610" s="177"/>
      <c r="CN610" s="177"/>
      <c r="CO610" s="177"/>
      <c r="CP610" s="177"/>
      <c r="CQ610" s="177"/>
      <c r="CR610" s="177"/>
      <c r="CS610" s="177"/>
      <c r="CT610" s="177"/>
      <c r="CU610" s="177"/>
      <c r="CV610" s="172"/>
      <c r="CW610" s="172"/>
      <c r="CX610" s="172"/>
      <c r="CY610" s="172"/>
      <c r="CZ610" s="172"/>
      <c r="DA610" s="196"/>
      <c r="DC610" s="169"/>
      <c r="DD610" s="177"/>
      <c r="DE610" s="177"/>
      <c r="DF610" s="177"/>
      <c r="DG610" s="177"/>
      <c r="DH610" s="177"/>
      <c r="DI610" s="177"/>
      <c r="DJ610" s="177"/>
      <c r="DK610" s="177"/>
      <c r="DL610" s="177"/>
      <c r="DM610" s="177"/>
      <c r="DN610" s="177"/>
      <c r="DO610" s="177"/>
      <c r="DP610" s="177"/>
      <c r="DQ610" s="172"/>
      <c r="DR610" s="172"/>
      <c r="DS610" s="172"/>
      <c r="DT610" s="172"/>
      <c r="DU610" s="172"/>
      <c r="DV610" s="196"/>
    </row>
    <row r="611" spans="1:126" x14ac:dyDescent="0.2">
      <c r="A611" s="3">
        <v>192</v>
      </c>
      <c r="B611" s="3" t="s">
        <v>306</v>
      </c>
      <c r="CG611" s="179"/>
      <c r="CH611" s="169"/>
      <c r="CI611" s="177"/>
      <c r="CJ611" s="177"/>
      <c r="CK611" s="177"/>
      <c r="CL611" s="177"/>
      <c r="CM611" s="177"/>
      <c r="CN611" s="177"/>
      <c r="CO611" s="177"/>
      <c r="CP611" s="177"/>
      <c r="CQ611" s="177"/>
      <c r="CR611" s="177"/>
      <c r="CS611" s="177"/>
      <c r="CT611" s="177"/>
      <c r="CU611" s="177"/>
      <c r="CV611" s="172"/>
      <c r="CW611" s="172"/>
      <c r="CX611" s="172"/>
      <c r="CY611" s="172"/>
      <c r="CZ611" s="172"/>
      <c r="DA611" s="196"/>
      <c r="DC611" s="169"/>
      <c r="DD611" s="177"/>
      <c r="DE611" s="177"/>
      <c r="DF611" s="177"/>
      <c r="DG611" s="177"/>
      <c r="DH611" s="177"/>
      <c r="DI611" s="177"/>
      <c r="DJ611" s="177"/>
      <c r="DK611" s="177"/>
      <c r="DL611" s="177"/>
      <c r="DM611" s="177"/>
      <c r="DN611" s="177"/>
      <c r="DO611" s="177"/>
      <c r="DP611" s="177"/>
      <c r="DQ611" s="172"/>
      <c r="DR611" s="172"/>
      <c r="DS611" s="172"/>
      <c r="DT611" s="172"/>
      <c r="DU611" s="172"/>
      <c r="DV611" s="196"/>
    </row>
    <row r="612" spans="1:126" x14ac:dyDescent="0.2">
      <c r="A612" s="3">
        <v>193</v>
      </c>
      <c r="B612" s="3" t="s">
        <v>307</v>
      </c>
      <c r="CG612" s="179"/>
      <c r="CH612" s="169"/>
      <c r="CI612" s="177"/>
      <c r="CJ612" s="177"/>
      <c r="CK612" s="177"/>
      <c r="CL612" s="177"/>
      <c r="CM612" s="177"/>
      <c r="CN612" s="177"/>
      <c r="CO612" s="177"/>
      <c r="CP612" s="177"/>
      <c r="CQ612" s="177"/>
      <c r="CR612" s="177"/>
      <c r="CS612" s="177"/>
      <c r="CT612" s="177"/>
      <c r="CU612" s="177"/>
      <c r="CV612" s="172"/>
      <c r="CW612" s="172"/>
      <c r="CX612" s="172"/>
      <c r="CY612" s="172"/>
      <c r="CZ612" s="172"/>
      <c r="DA612" s="196"/>
      <c r="DC612" s="169"/>
      <c r="DD612" s="177"/>
      <c r="DE612" s="177"/>
      <c r="DF612" s="177"/>
      <c r="DG612" s="177"/>
      <c r="DH612" s="177"/>
      <c r="DI612" s="177"/>
      <c r="DJ612" s="177"/>
      <c r="DK612" s="177"/>
      <c r="DL612" s="177"/>
      <c r="DM612" s="177"/>
      <c r="DN612" s="177"/>
      <c r="DO612" s="177"/>
      <c r="DP612" s="177"/>
      <c r="DQ612" s="172"/>
      <c r="DR612" s="172"/>
      <c r="DS612" s="172"/>
      <c r="DT612" s="172"/>
      <c r="DU612" s="172"/>
      <c r="DV612" s="196"/>
    </row>
    <row r="613" spans="1:126" x14ac:dyDescent="0.2">
      <c r="A613" s="3">
        <v>194</v>
      </c>
      <c r="B613" s="3" t="s">
        <v>308</v>
      </c>
      <c r="CG613" s="179"/>
      <c r="CH613" s="197"/>
      <c r="CI613" s="180"/>
      <c r="CJ613" s="180"/>
      <c r="CK613" s="180"/>
      <c r="CL613" s="180"/>
      <c r="CM613" s="180"/>
      <c r="CN613" s="180"/>
      <c r="CO613" s="180"/>
      <c r="CP613" s="180"/>
      <c r="CQ613" s="180"/>
      <c r="CR613" s="180"/>
      <c r="CS613" s="180"/>
      <c r="CT613" s="180"/>
      <c r="CU613" s="180"/>
      <c r="CV613" s="173"/>
      <c r="CW613" s="173"/>
      <c r="CX613" s="173"/>
      <c r="CY613" s="173"/>
      <c r="CZ613" s="173"/>
      <c r="DA613" s="198"/>
      <c r="DC613" s="197"/>
      <c r="DD613" s="180"/>
      <c r="DE613" s="180"/>
      <c r="DF613" s="180"/>
      <c r="DG613" s="180"/>
      <c r="DH613" s="180"/>
      <c r="DI613" s="180"/>
      <c r="DJ613" s="180"/>
      <c r="DK613" s="180"/>
      <c r="DL613" s="180"/>
      <c r="DM613" s="180"/>
      <c r="DN613" s="180"/>
      <c r="DO613" s="180"/>
      <c r="DP613" s="180"/>
      <c r="DQ613" s="173"/>
      <c r="DR613" s="173"/>
      <c r="DS613" s="173"/>
      <c r="DT613" s="173"/>
      <c r="DU613" s="173"/>
      <c r="DV613" s="198"/>
    </row>
    <row r="614" spans="1:126" x14ac:dyDescent="0.2">
      <c r="A614" s="3">
        <v>195</v>
      </c>
      <c r="B614" s="3" t="s">
        <v>309</v>
      </c>
      <c r="CG614" s="179"/>
      <c r="CH614" s="197"/>
      <c r="CI614" s="180"/>
      <c r="CJ614" s="180"/>
      <c r="CK614" s="180"/>
      <c r="CL614" s="180"/>
      <c r="CM614" s="180"/>
      <c r="CN614" s="180"/>
      <c r="CO614" s="180"/>
      <c r="CP614" s="180"/>
      <c r="CQ614" s="180"/>
      <c r="CR614" s="180"/>
      <c r="CS614" s="180"/>
      <c r="CT614" s="180"/>
      <c r="CU614" s="180"/>
      <c r="CV614" s="173"/>
      <c r="CW614" s="173"/>
      <c r="CX614" s="173"/>
      <c r="CY614" s="173"/>
      <c r="CZ614" s="173"/>
      <c r="DA614" s="198"/>
      <c r="DC614" s="197"/>
      <c r="DD614" s="180"/>
      <c r="DE614" s="180"/>
      <c r="DF614" s="180"/>
      <c r="DG614" s="180"/>
      <c r="DH614" s="180"/>
      <c r="DI614" s="180"/>
      <c r="DJ614" s="180"/>
      <c r="DK614" s="180"/>
      <c r="DL614" s="180"/>
      <c r="DM614" s="180"/>
      <c r="DN614" s="180"/>
      <c r="DO614" s="180"/>
      <c r="DP614" s="180"/>
      <c r="DQ614" s="173"/>
      <c r="DR614" s="173"/>
      <c r="DS614" s="173"/>
      <c r="DT614" s="173"/>
      <c r="DU614" s="173"/>
      <c r="DV614" s="198"/>
    </row>
    <row r="615" spans="1:126" x14ac:dyDescent="0.2">
      <c r="A615" s="3">
        <v>196</v>
      </c>
      <c r="B615" s="3" t="s">
        <v>310</v>
      </c>
      <c r="CG615" s="179"/>
      <c r="CH615" s="197"/>
      <c r="CI615" s="180"/>
      <c r="CJ615" s="180"/>
      <c r="CK615" s="180"/>
      <c r="CL615" s="180"/>
      <c r="CM615" s="180"/>
      <c r="CN615" s="180"/>
      <c r="CO615" s="180"/>
      <c r="CP615" s="180"/>
      <c r="CQ615" s="180"/>
      <c r="CR615" s="180"/>
      <c r="CS615" s="180"/>
      <c r="CT615" s="180"/>
      <c r="CU615" s="180"/>
      <c r="CV615" s="173"/>
      <c r="CW615" s="173"/>
      <c r="CX615" s="173"/>
      <c r="CY615" s="173"/>
      <c r="CZ615" s="173"/>
      <c r="DA615" s="198"/>
      <c r="DC615" s="197"/>
      <c r="DD615" s="180"/>
      <c r="DE615" s="180"/>
      <c r="DF615" s="180"/>
      <c r="DG615" s="180"/>
      <c r="DH615" s="180"/>
      <c r="DI615" s="180"/>
      <c r="DJ615" s="180"/>
      <c r="DK615" s="180"/>
      <c r="DL615" s="180"/>
      <c r="DM615" s="180"/>
      <c r="DN615" s="180"/>
      <c r="DO615" s="180"/>
      <c r="DP615" s="180"/>
      <c r="DQ615" s="173"/>
      <c r="DR615" s="173"/>
      <c r="DS615" s="173"/>
      <c r="DT615" s="173"/>
      <c r="DU615" s="173"/>
      <c r="DV615" s="198"/>
    </row>
    <row r="616" spans="1:126" x14ac:dyDescent="0.2">
      <c r="A616" s="3">
        <v>197</v>
      </c>
      <c r="B616" s="3" t="s">
        <v>311</v>
      </c>
      <c r="CG616" s="179"/>
      <c r="CH616" s="197"/>
      <c r="CI616" s="180"/>
      <c r="CJ616" s="180"/>
      <c r="CK616" s="180"/>
      <c r="CL616" s="180"/>
      <c r="CM616" s="180"/>
      <c r="CN616" s="180"/>
      <c r="CO616" s="180"/>
      <c r="CP616" s="180"/>
      <c r="CQ616" s="180"/>
      <c r="CR616" s="180"/>
      <c r="CS616" s="180"/>
      <c r="CT616" s="180"/>
      <c r="CU616" s="180"/>
      <c r="CV616" s="173"/>
      <c r="CW616" s="173"/>
      <c r="CX616" s="173"/>
      <c r="CY616" s="173"/>
      <c r="CZ616" s="173"/>
      <c r="DA616" s="198"/>
      <c r="DC616" s="197"/>
      <c r="DD616" s="180"/>
      <c r="DE616" s="180"/>
      <c r="DF616" s="180"/>
      <c r="DG616" s="180"/>
      <c r="DH616" s="180"/>
      <c r="DI616" s="180"/>
      <c r="DJ616" s="180"/>
      <c r="DK616" s="180"/>
      <c r="DL616" s="180"/>
      <c r="DM616" s="180"/>
      <c r="DN616" s="180"/>
      <c r="DO616" s="180"/>
      <c r="DP616" s="180"/>
      <c r="DQ616" s="173"/>
      <c r="DR616" s="173"/>
      <c r="DS616" s="173"/>
      <c r="DT616" s="173"/>
      <c r="DU616" s="173"/>
      <c r="DV616" s="198"/>
    </row>
    <row r="617" spans="1:126" x14ac:dyDescent="0.2">
      <c r="A617" s="3">
        <v>198</v>
      </c>
      <c r="B617" s="3" t="s">
        <v>312</v>
      </c>
      <c r="CG617" s="179"/>
      <c r="CH617" s="197"/>
      <c r="CI617" s="180"/>
      <c r="CJ617" s="180"/>
      <c r="CK617" s="180"/>
      <c r="CL617" s="180"/>
      <c r="CM617" s="180"/>
      <c r="CN617" s="180"/>
      <c r="CO617" s="180"/>
      <c r="CP617" s="180"/>
      <c r="CQ617" s="180"/>
      <c r="CR617" s="180"/>
      <c r="CS617" s="180"/>
      <c r="CT617" s="180"/>
      <c r="CU617" s="180"/>
      <c r="CV617" s="173"/>
      <c r="CW617" s="173"/>
      <c r="CX617" s="173"/>
      <c r="CY617" s="173"/>
      <c r="CZ617" s="173"/>
      <c r="DA617" s="198"/>
      <c r="DC617" s="197"/>
      <c r="DD617" s="180"/>
      <c r="DE617" s="180"/>
      <c r="DF617" s="180"/>
      <c r="DG617" s="180"/>
      <c r="DH617" s="180"/>
      <c r="DI617" s="180"/>
      <c r="DJ617" s="180"/>
      <c r="DK617" s="180"/>
      <c r="DL617" s="180"/>
      <c r="DM617" s="180"/>
      <c r="DN617" s="180"/>
      <c r="DO617" s="180"/>
      <c r="DP617" s="180"/>
      <c r="DQ617" s="173"/>
      <c r="DR617" s="173"/>
      <c r="DS617" s="173"/>
      <c r="DT617" s="173"/>
      <c r="DU617" s="173"/>
      <c r="DV617" s="198"/>
    </row>
    <row r="618" spans="1:126" x14ac:dyDescent="0.2">
      <c r="A618" s="3">
        <v>199</v>
      </c>
      <c r="B618" s="3" t="s">
        <v>313</v>
      </c>
      <c r="CG618" s="176"/>
      <c r="CH618" s="197"/>
      <c r="CI618" s="180"/>
      <c r="CJ618" s="180"/>
      <c r="CK618" s="180"/>
      <c r="CL618" s="180"/>
      <c r="CM618" s="180"/>
      <c r="CN618" s="180"/>
      <c r="CO618" s="180"/>
      <c r="CP618" s="180"/>
      <c r="CQ618" s="180"/>
      <c r="CR618" s="180"/>
      <c r="CS618" s="180"/>
      <c r="CT618" s="180"/>
      <c r="CU618" s="180"/>
      <c r="CV618" s="173"/>
      <c r="CW618" s="173"/>
      <c r="CX618" s="173"/>
      <c r="CY618" s="173"/>
      <c r="CZ618" s="173"/>
      <c r="DA618" s="198"/>
      <c r="DC618" s="197"/>
      <c r="DD618" s="180"/>
      <c r="DE618" s="180"/>
      <c r="DF618" s="180"/>
      <c r="DG618" s="180"/>
      <c r="DH618" s="180"/>
      <c r="DI618" s="180"/>
      <c r="DJ618" s="180"/>
      <c r="DK618" s="180"/>
      <c r="DL618" s="180"/>
      <c r="DM618" s="180"/>
      <c r="DN618" s="180"/>
      <c r="DO618" s="180"/>
      <c r="DP618" s="180"/>
      <c r="DQ618" s="173"/>
      <c r="DR618" s="173"/>
      <c r="DS618" s="173"/>
      <c r="DT618" s="173"/>
      <c r="DU618" s="173"/>
      <c r="DV618" s="198"/>
    </row>
    <row r="619" spans="1:126" x14ac:dyDescent="0.2">
      <c r="A619" s="3">
        <v>200</v>
      </c>
      <c r="B619" s="3" t="s">
        <v>314</v>
      </c>
      <c r="CG619" s="176"/>
      <c r="CH619" s="197"/>
      <c r="CI619" s="180"/>
      <c r="CJ619" s="180"/>
      <c r="CK619" s="180"/>
      <c r="CL619" s="180"/>
      <c r="CM619" s="180"/>
      <c r="CN619" s="180"/>
      <c r="CO619" s="180"/>
      <c r="CP619" s="180"/>
      <c r="CQ619" s="180"/>
      <c r="CR619" s="180"/>
      <c r="CS619" s="180"/>
      <c r="CT619" s="180"/>
      <c r="CU619" s="180"/>
      <c r="CV619" s="173"/>
      <c r="CW619" s="173"/>
      <c r="CX619" s="173"/>
      <c r="CY619" s="173"/>
      <c r="CZ619" s="173"/>
      <c r="DA619" s="198"/>
      <c r="DC619" s="197"/>
      <c r="DD619" s="180"/>
      <c r="DE619" s="180"/>
      <c r="DF619" s="180"/>
      <c r="DG619" s="180"/>
      <c r="DH619" s="180"/>
      <c r="DI619" s="180"/>
      <c r="DJ619" s="180"/>
      <c r="DK619" s="180"/>
      <c r="DL619" s="180"/>
      <c r="DM619" s="180"/>
      <c r="DN619" s="180"/>
      <c r="DO619" s="180"/>
      <c r="DP619" s="180"/>
      <c r="DQ619" s="173"/>
      <c r="DR619" s="173"/>
      <c r="DS619" s="173"/>
      <c r="DT619" s="173"/>
      <c r="DU619" s="173"/>
      <c r="DV619" s="198"/>
    </row>
    <row r="620" spans="1:126" x14ac:dyDescent="0.2">
      <c r="A620" s="3">
        <v>201</v>
      </c>
      <c r="B620" s="3" t="s">
        <v>380</v>
      </c>
      <c r="CG620" s="176"/>
      <c r="CH620" s="199"/>
      <c r="CI620" s="200"/>
      <c r="CJ620" s="200"/>
      <c r="CK620" s="200"/>
      <c r="CL620" s="200"/>
      <c r="CM620" s="200"/>
      <c r="CN620" s="200"/>
      <c r="CO620" s="200"/>
      <c r="CP620" s="200"/>
      <c r="CQ620" s="201"/>
      <c r="CR620" s="202"/>
      <c r="CS620" s="200"/>
      <c r="CT620" s="200"/>
      <c r="CU620" s="200"/>
      <c r="CV620" s="203"/>
      <c r="CW620" s="203"/>
      <c r="CX620" s="203"/>
      <c r="CY620" s="203"/>
      <c r="CZ620" s="203"/>
      <c r="DA620" s="204"/>
      <c r="DC620" s="199"/>
      <c r="DD620" s="200"/>
      <c r="DE620" s="200"/>
      <c r="DF620" s="200"/>
      <c r="DG620" s="200"/>
      <c r="DH620" s="200"/>
      <c r="DI620" s="200"/>
      <c r="DJ620" s="200"/>
      <c r="DK620" s="200"/>
      <c r="DL620" s="200"/>
      <c r="DM620" s="200"/>
      <c r="DN620" s="200"/>
      <c r="DO620" s="200"/>
      <c r="DP620" s="200"/>
      <c r="DQ620" s="203"/>
      <c r="DR620" s="203"/>
      <c r="DS620" s="203"/>
      <c r="DT620" s="203"/>
      <c r="DU620" s="203"/>
      <c r="DV620" s="204"/>
    </row>
    <row r="621" spans="1:126" x14ac:dyDescent="0.2">
      <c r="A621" s="3">
        <v>202</v>
      </c>
      <c r="B621" s="3" t="s">
        <v>317</v>
      </c>
      <c r="CG621" s="176">
        <v>32</v>
      </c>
      <c r="CH621" s="192"/>
      <c r="CI621" s="193"/>
      <c r="CJ621" s="193"/>
      <c r="CK621" s="193"/>
      <c r="CL621" s="193"/>
      <c r="CM621" s="193"/>
      <c r="CN621" s="193"/>
      <c r="CO621" s="193"/>
      <c r="CP621" s="193"/>
      <c r="CQ621" s="193"/>
      <c r="CR621" s="193"/>
      <c r="CS621" s="193"/>
      <c r="CT621" s="193"/>
      <c r="CU621" s="193"/>
      <c r="CV621" s="194"/>
      <c r="CW621" s="194"/>
      <c r="CX621" s="194"/>
      <c r="CY621" s="194"/>
      <c r="CZ621" s="194"/>
      <c r="DA621" s="195"/>
      <c r="DC621" s="192"/>
      <c r="DD621" s="193"/>
      <c r="DE621" s="193"/>
      <c r="DF621" s="193"/>
      <c r="DG621" s="193"/>
      <c r="DH621" s="193"/>
      <c r="DI621" s="193"/>
      <c r="DJ621" s="193"/>
      <c r="DK621" s="193"/>
      <c r="DL621" s="193"/>
      <c r="DM621" s="193"/>
      <c r="DN621" s="193"/>
      <c r="DO621" s="193"/>
      <c r="DP621" s="193"/>
      <c r="DQ621" s="194"/>
      <c r="DR621" s="194"/>
      <c r="DS621" s="194"/>
      <c r="DT621" s="194"/>
      <c r="DU621" s="194"/>
      <c r="DV621" s="195"/>
    </row>
    <row r="622" spans="1:126" x14ac:dyDescent="0.2">
      <c r="A622" s="3">
        <v>203</v>
      </c>
      <c r="B622" s="3" t="s">
        <v>318</v>
      </c>
      <c r="CG622" s="176"/>
      <c r="CH622" s="169"/>
      <c r="CI622" s="177"/>
      <c r="CJ622" s="177"/>
      <c r="CK622" s="177"/>
      <c r="CL622" s="177"/>
      <c r="CM622" s="177"/>
      <c r="CN622" s="177"/>
      <c r="CO622" s="177"/>
      <c r="CP622" s="177"/>
      <c r="CQ622" s="177"/>
      <c r="CR622" s="177"/>
      <c r="CS622" s="177"/>
      <c r="CT622" s="177"/>
      <c r="CU622" s="177"/>
      <c r="CV622" s="172"/>
      <c r="CW622" s="172"/>
      <c r="CX622" s="172"/>
      <c r="CY622" s="172"/>
      <c r="CZ622" s="172"/>
      <c r="DA622" s="196"/>
      <c r="DC622" s="169"/>
      <c r="DD622" s="177"/>
      <c r="DE622" s="177"/>
      <c r="DF622" s="177"/>
      <c r="DG622" s="177"/>
      <c r="DH622" s="177"/>
      <c r="DI622" s="177"/>
      <c r="DJ622" s="177"/>
      <c r="DK622" s="177"/>
      <c r="DL622" s="177"/>
      <c r="DM622" s="177"/>
      <c r="DN622" s="177"/>
      <c r="DO622" s="177"/>
      <c r="DP622" s="177"/>
      <c r="DQ622" s="172"/>
      <c r="DR622" s="172"/>
      <c r="DS622" s="172"/>
      <c r="DT622" s="172"/>
      <c r="DU622" s="172"/>
      <c r="DV622" s="196"/>
    </row>
    <row r="623" spans="1:126" x14ac:dyDescent="0.2">
      <c r="A623" s="3">
        <v>204</v>
      </c>
      <c r="B623" s="3" t="s">
        <v>319</v>
      </c>
      <c r="CG623" s="131"/>
      <c r="CH623" s="169"/>
      <c r="CI623" s="177"/>
      <c r="CJ623" s="177"/>
      <c r="CK623" s="177"/>
      <c r="CL623" s="177"/>
      <c r="CM623" s="177"/>
      <c r="CN623" s="177"/>
      <c r="CO623" s="177"/>
      <c r="CP623" s="177"/>
      <c r="CQ623" s="177"/>
      <c r="CR623" s="177"/>
      <c r="CS623" s="177"/>
      <c r="CT623" s="177"/>
      <c r="CU623" s="177"/>
      <c r="CV623" s="172"/>
      <c r="CW623" s="172"/>
      <c r="CX623" s="172"/>
      <c r="CY623" s="172"/>
      <c r="CZ623" s="172"/>
      <c r="DA623" s="196"/>
      <c r="DC623" s="169"/>
      <c r="DD623" s="177"/>
      <c r="DE623" s="177"/>
      <c r="DF623" s="177"/>
      <c r="DG623" s="177"/>
      <c r="DH623" s="177"/>
      <c r="DI623" s="177"/>
      <c r="DJ623" s="177"/>
      <c r="DK623" s="177"/>
      <c r="DL623" s="177"/>
      <c r="DM623" s="177"/>
      <c r="DN623" s="177"/>
      <c r="DO623" s="177"/>
      <c r="DP623" s="177"/>
      <c r="DQ623" s="172"/>
      <c r="DR623" s="172"/>
      <c r="DS623" s="172"/>
      <c r="DT623" s="172"/>
      <c r="DU623" s="172"/>
      <c r="DV623" s="196"/>
    </row>
    <row r="624" spans="1:126" x14ac:dyDescent="0.2">
      <c r="A624" s="3">
        <v>205</v>
      </c>
      <c r="B624" s="3" t="s">
        <v>320</v>
      </c>
      <c r="CG624" s="176"/>
      <c r="CH624" s="169"/>
      <c r="CI624" s="177"/>
      <c r="CJ624" s="177"/>
      <c r="CK624" s="177"/>
      <c r="CL624" s="177"/>
      <c r="CM624" s="177"/>
      <c r="CN624" s="177"/>
      <c r="CO624" s="177"/>
      <c r="CP624" s="177"/>
      <c r="CQ624" s="177"/>
      <c r="CR624" s="177"/>
      <c r="CS624" s="177"/>
      <c r="CT624" s="177"/>
      <c r="CU624" s="177"/>
      <c r="CV624" s="172"/>
      <c r="CW624" s="172"/>
      <c r="CX624" s="172"/>
      <c r="CY624" s="172"/>
      <c r="CZ624" s="172"/>
      <c r="DA624" s="196"/>
      <c r="DC624" s="169"/>
      <c r="DD624" s="177"/>
      <c r="DE624" s="177"/>
      <c r="DF624" s="177"/>
      <c r="DG624" s="177"/>
      <c r="DH624" s="177"/>
      <c r="DI624" s="177"/>
      <c r="DJ624" s="177"/>
      <c r="DK624" s="177"/>
      <c r="DL624" s="177"/>
      <c r="DM624" s="177"/>
      <c r="DN624" s="177"/>
      <c r="DO624" s="177"/>
      <c r="DP624" s="177"/>
      <c r="DQ624" s="172"/>
      <c r="DR624" s="172"/>
      <c r="DS624" s="172"/>
      <c r="DT624" s="172"/>
      <c r="DU624" s="172"/>
      <c r="DV624" s="196"/>
    </row>
    <row r="625" spans="1:126" x14ac:dyDescent="0.2">
      <c r="A625" s="3">
        <v>206</v>
      </c>
      <c r="B625" s="3" t="s">
        <v>321</v>
      </c>
      <c r="CG625" s="178"/>
      <c r="CH625" s="169"/>
      <c r="CI625" s="177"/>
      <c r="CJ625" s="177"/>
      <c r="CK625" s="177"/>
      <c r="CL625" s="177"/>
      <c r="CM625" s="177"/>
      <c r="CN625" s="177"/>
      <c r="CO625" s="177"/>
      <c r="CP625" s="177"/>
      <c r="CQ625" s="177"/>
      <c r="CR625" s="177"/>
      <c r="CS625" s="177"/>
      <c r="CT625" s="177"/>
      <c r="CU625" s="177"/>
      <c r="CV625" s="172"/>
      <c r="CW625" s="172"/>
      <c r="CX625" s="172"/>
      <c r="CY625" s="172"/>
      <c r="CZ625" s="172"/>
      <c r="DA625" s="196"/>
      <c r="DC625" s="169"/>
      <c r="DD625" s="177"/>
      <c r="DE625" s="177"/>
      <c r="DF625" s="177"/>
      <c r="DG625" s="177"/>
      <c r="DH625" s="177"/>
      <c r="DI625" s="177"/>
      <c r="DJ625" s="177"/>
      <c r="DK625" s="177"/>
      <c r="DL625" s="177"/>
      <c r="DM625" s="177"/>
      <c r="DN625" s="177"/>
      <c r="DO625" s="177"/>
      <c r="DP625" s="177"/>
      <c r="DQ625" s="172"/>
      <c r="DR625" s="172"/>
      <c r="DS625" s="172"/>
      <c r="DT625" s="172"/>
      <c r="DU625" s="172"/>
      <c r="DV625" s="196"/>
    </row>
    <row r="626" spans="1:126" x14ac:dyDescent="0.2">
      <c r="A626" s="3">
        <v>207</v>
      </c>
      <c r="B626" s="3" t="s">
        <v>322</v>
      </c>
      <c r="CG626" s="179"/>
      <c r="CH626" s="169"/>
      <c r="CI626" s="177"/>
      <c r="CJ626" s="177"/>
      <c r="CK626" s="177"/>
      <c r="CL626" s="177"/>
      <c r="CM626" s="177"/>
      <c r="CN626" s="177"/>
      <c r="CO626" s="177"/>
      <c r="CP626" s="177"/>
      <c r="CQ626" s="177"/>
      <c r="CR626" s="177"/>
      <c r="CS626" s="177"/>
      <c r="CT626" s="177"/>
      <c r="CU626" s="177"/>
      <c r="CV626" s="172"/>
      <c r="CW626" s="172"/>
      <c r="CX626" s="172"/>
      <c r="CY626" s="172"/>
      <c r="CZ626" s="172"/>
      <c r="DA626" s="196"/>
      <c r="DC626" s="169"/>
      <c r="DD626" s="177"/>
      <c r="DE626" s="177"/>
      <c r="DF626" s="177"/>
      <c r="DG626" s="177"/>
      <c r="DH626" s="177"/>
      <c r="DI626" s="177"/>
      <c r="DJ626" s="177"/>
      <c r="DK626" s="177"/>
      <c r="DL626" s="177"/>
      <c r="DM626" s="177"/>
      <c r="DN626" s="177"/>
      <c r="DO626" s="177"/>
      <c r="DP626" s="177"/>
      <c r="DQ626" s="172"/>
      <c r="DR626" s="172"/>
      <c r="DS626" s="172"/>
      <c r="DT626" s="172"/>
      <c r="DU626" s="172"/>
      <c r="DV626" s="196"/>
    </row>
    <row r="627" spans="1:126" x14ac:dyDescent="0.2">
      <c r="A627" s="3">
        <v>208</v>
      </c>
      <c r="B627" s="3" t="s">
        <v>323</v>
      </c>
      <c r="CG627" s="179"/>
      <c r="CH627" s="169"/>
      <c r="CI627" s="177"/>
      <c r="CJ627" s="177"/>
      <c r="CK627" s="177"/>
      <c r="CL627" s="177"/>
      <c r="CM627" s="177"/>
      <c r="CN627" s="177"/>
      <c r="CO627" s="177"/>
      <c r="CP627" s="177"/>
      <c r="CQ627" s="177"/>
      <c r="CR627" s="177"/>
      <c r="CS627" s="177"/>
      <c r="CT627" s="177"/>
      <c r="CU627" s="177"/>
      <c r="CV627" s="172"/>
      <c r="CW627" s="172"/>
      <c r="CX627" s="172"/>
      <c r="CY627" s="172"/>
      <c r="CZ627" s="172"/>
      <c r="DA627" s="196"/>
      <c r="DC627" s="169"/>
      <c r="DD627" s="177"/>
      <c r="DE627" s="177"/>
      <c r="DF627" s="177"/>
      <c r="DG627" s="177"/>
      <c r="DH627" s="177"/>
      <c r="DI627" s="177"/>
      <c r="DJ627" s="177"/>
      <c r="DK627" s="177"/>
      <c r="DL627" s="177"/>
      <c r="DM627" s="177"/>
      <c r="DN627" s="177"/>
      <c r="DO627" s="177"/>
      <c r="DP627" s="177"/>
      <c r="DQ627" s="172"/>
      <c r="DR627" s="172"/>
      <c r="DS627" s="172"/>
      <c r="DT627" s="172"/>
      <c r="DU627" s="172"/>
      <c r="DV627" s="196"/>
    </row>
    <row r="628" spans="1:126" x14ac:dyDescent="0.2">
      <c r="A628" s="3">
        <v>209</v>
      </c>
      <c r="B628" s="3" t="s">
        <v>324</v>
      </c>
      <c r="CG628" s="179"/>
      <c r="CH628" s="169"/>
      <c r="CI628" s="177"/>
      <c r="CJ628" s="177"/>
      <c r="CK628" s="177"/>
      <c r="CL628" s="177"/>
      <c r="CM628" s="177"/>
      <c r="CN628" s="177"/>
      <c r="CO628" s="177"/>
      <c r="CP628" s="177"/>
      <c r="CQ628" s="177"/>
      <c r="CR628" s="177"/>
      <c r="CS628" s="177"/>
      <c r="CT628" s="177"/>
      <c r="CU628" s="177"/>
      <c r="CV628" s="172"/>
      <c r="CW628" s="172"/>
      <c r="CX628" s="172"/>
      <c r="CY628" s="172"/>
      <c r="CZ628" s="172"/>
      <c r="DA628" s="196"/>
      <c r="DC628" s="169"/>
      <c r="DD628" s="177"/>
      <c r="DE628" s="177"/>
      <c r="DF628" s="177"/>
      <c r="DG628" s="177"/>
      <c r="DH628" s="177"/>
      <c r="DI628" s="177"/>
      <c r="DJ628" s="177"/>
      <c r="DK628" s="177"/>
      <c r="DL628" s="177"/>
      <c r="DM628" s="177"/>
      <c r="DN628" s="177"/>
      <c r="DO628" s="177"/>
      <c r="DP628" s="177"/>
      <c r="DQ628" s="172"/>
      <c r="DR628" s="172"/>
      <c r="DS628" s="172"/>
      <c r="DT628" s="172"/>
      <c r="DU628" s="172"/>
      <c r="DV628" s="196"/>
    </row>
    <row r="629" spans="1:126" x14ac:dyDescent="0.2">
      <c r="A629" s="3">
        <v>210</v>
      </c>
      <c r="B629" s="3" t="s">
        <v>325</v>
      </c>
      <c r="CG629" s="179"/>
      <c r="CH629" s="169"/>
      <c r="CI629" s="177"/>
      <c r="CJ629" s="177"/>
      <c r="CK629" s="177"/>
      <c r="CL629" s="177"/>
      <c r="CM629" s="177"/>
      <c r="CN629" s="177"/>
      <c r="CO629" s="177"/>
      <c r="CP629" s="177"/>
      <c r="CQ629" s="177"/>
      <c r="CR629" s="177"/>
      <c r="CS629" s="177"/>
      <c r="CT629" s="177"/>
      <c r="CU629" s="177"/>
      <c r="CV629" s="172"/>
      <c r="CW629" s="172"/>
      <c r="CX629" s="172"/>
      <c r="CY629" s="172"/>
      <c r="CZ629" s="172"/>
      <c r="DA629" s="196"/>
      <c r="DC629" s="169"/>
      <c r="DD629" s="177"/>
      <c r="DE629" s="177"/>
      <c r="DF629" s="177"/>
      <c r="DG629" s="177"/>
      <c r="DH629" s="177"/>
      <c r="DI629" s="177"/>
      <c r="DJ629" s="177"/>
      <c r="DK629" s="177"/>
      <c r="DL629" s="177"/>
      <c r="DM629" s="177"/>
      <c r="DN629" s="177"/>
      <c r="DO629" s="177"/>
      <c r="DP629" s="177"/>
      <c r="DQ629" s="172"/>
      <c r="DR629" s="172"/>
      <c r="DS629" s="172"/>
      <c r="DT629" s="172"/>
      <c r="DU629" s="172"/>
      <c r="DV629" s="196"/>
    </row>
    <row r="630" spans="1:126" x14ac:dyDescent="0.2">
      <c r="A630" s="3">
        <v>211</v>
      </c>
      <c r="B630" s="3" t="s">
        <v>326</v>
      </c>
      <c r="CG630" s="179"/>
      <c r="CH630" s="169"/>
      <c r="CI630" s="177"/>
      <c r="CJ630" s="177"/>
      <c r="CK630" s="177"/>
      <c r="CL630" s="177"/>
      <c r="CM630" s="177"/>
      <c r="CN630" s="177"/>
      <c r="CO630" s="177"/>
      <c r="CP630" s="177"/>
      <c r="CQ630" s="177"/>
      <c r="CR630" s="177"/>
      <c r="CS630" s="177"/>
      <c r="CT630" s="177"/>
      <c r="CU630" s="177"/>
      <c r="CV630" s="172"/>
      <c r="CW630" s="172"/>
      <c r="CX630" s="172"/>
      <c r="CY630" s="172"/>
      <c r="CZ630" s="172"/>
      <c r="DA630" s="196"/>
      <c r="DC630" s="169"/>
      <c r="DD630" s="177"/>
      <c r="DE630" s="177"/>
      <c r="DF630" s="177"/>
      <c r="DG630" s="177"/>
      <c r="DH630" s="177"/>
      <c r="DI630" s="177"/>
      <c r="DJ630" s="177"/>
      <c r="DK630" s="177"/>
      <c r="DL630" s="177"/>
      <c r="DM630" s="177"/>
      <c r="DN630" s="177"/>
      <c r="DO630" s="177"/>
      <c r="DP630" s="177"/>
      <c r="DQ630" s="172"/>
      <c r="DR630" s="172"/>
      <c r="DS630" s="172"/>
      <c r="DT630" s="172"/>
      <c r="DU630" s="172"/>
      <c r="DV630" s="196"/>
    </row>
    <row r="631" spans="1:126" x14ac:dyDescent="0.2">
      <c r="A631" s="3">
        <v>212</v>
      </c>
      <c r="B631" s="3" t="s">
        <v>327</v>
      </c>
      <c r="CG631" s="179"/>
      <c r="CH631" s="169"/>
      <c r="CI631" s="177"/>
      <c r="CJ631" s="177"/>
      <c r="CK631" s="177"/>
      <c r="CL631" s="177"/>
      <c r="CM631" s="177"/>
      <c r="CN631" s="177"/>
      <c r="CO631" s="177"/>
      <c r="CP631" s="177"/>
      <c r="CQ631" s="177"/>
      <c r="CR631" s="177"/>
      <c r="CS631" s="177"/>
      <c r="CT631" s="177"/>
      <c r="CU631" s="177"/>
      <c r="CV631" s="172"/>
      <c r="CW631" s="172"/>
      <c r="CX631" s="172"/>
      <c r="CY631" s="172"/>
      <c r="CZ631" s="172"/>
      <c r="DA631" s="196"/>
      <c r="DC631" s="169"/>
      <c r="DD631" s="177"/>
      <c r="DE631" s="177"/>
      <c r="DF631" s="177"/>
      <c r="DG631" s="177"/>
      <c r="DH631" s="177"/>
      <c r="DI631" s="177"/>
      <c r="DJ631" s="177"/>
      <c r="DK631" s="177"/>
      <c r="DL631" s="177"/>
      <c r="DM631" s="177"/>
      <c r="DN631" s="177"/>
      <c r="DO631" s="177"/>
      <c r="DP631" s="177"/>
      <c r="DQ631" s="172"/>
      <c r="DR631" s="172"/>
      <c r="DS631" s="172"/>
      <c r="DT631" s="172"/>
      <c r="DU631" s="172"/>
      <c r="DV631" s="196"/>
    </row>
    <row r="632" spans="1:126" x14ac:dyDescent="0.2">
      <c r="A632" s="3">
        <v>213</v>
      </c>
      <c r="B632" s="3" t="s">
        <v>328</v>
      </c>
      <c r="CG632" s="179"/>
      <c r="CH632" s="169"/>
      <c r="CI632" s="177"/>
      <c r="CJ632" s="177"/>
      <c r="CK632" s="177"/>
      <c r="CL632" s="177"/>
      <c r="CM632" s="177"/>
      <c r="CN632" s="177"/>
      <c r="CO632" s="177"/>
      <c r="CP632" s="177"/>
      <c r="CQ632" s="177"/>
      <c r="CR632" s="177"/>
      <c r="CS632" s="177"/>
      <c r="CT632" s="177"/>
      <c r="CU632" s="177"/>
      <c r="CV632" s="172"/>
      <c r="CW632" s="172"/>
      <c r="CX632" s="172"/>
      <c r="CY632" s="172"/>
      <c r="CZ632" s="172"/>
      <c r="DA632" s="196"/>
      <c r="DC632" s="169"/>
      <c r="DD632" s="177"/>
      <c r="DE632" s="177"/>
      <c r="DF632" s="177"/>
      <c r="DG632" s="177"/>
      <c r="DH632" s="177"/>
      <c r="DI632" s="177"/>
      <c r="DJ632" s="177"/>
      <c r="DK632" s="177"/>
      <c r="DL632" s="177"/>
      <c r="DM632" s="177"/>
      <c r="DN632" s="177"/>
      <c r="DO632" s="177"/>
      <c r="DP632" s="177"/>
      <c r="DQ632" s="172"/>
      <c r="DR632" s="172"/>
      <c r="DS632" s="172"/>
      <c r="DT632" s="172"/>
      <c r="DU632" s="172"/>
      <c r="DV632" s="196"/>
    </row>
    <row r="633" spans="1:126" x14ac:dyDescent="0.2">
      <c r="A633" s="3">
        <v>214</v>
      </c>
      <c r="B633" s="3" t="s">
        <v>329</v>
      </c>
      <c r="CG633" s="179"/>
      <c r="CH633" s="197"/>
      <c r="CI633" s="180"/>
      <c r="CJ633" s="180"/>
      <c r="CK633" s="180"/>
      <c r="CL633" s="180"/>
      <c r="CM633" s="180"/>
      <c r="CN633" s="180"/>
      <c r="CO633" s="180"/>
      <c r="CP633" s="180"/>
      <c r="CQ633" s="180"/>
      <c r="CR633" s="180"/>
      <c r="CS633" s="180"/>
      <c r="CT633" s="180"/>
      <c r="CU633" s="180"/>
      <c r="CV633" s="173"/>
      <c r="CW633" s="173"/>
      <c r="CX633" s="173"/>
      <c r="CY633" s="173"/>
      <c r="CZ633" s="173"/>
      <c r="DA633" s="198"/>
      <c r="DC633" s="197"/>
      <c r="DD633" s="180"/>
      <c r="DE633" s="180"/>
      <c r="DF633" s="180"/>
      <c r="DG633" s="180"/>
      <c r="DH633" s="180"/>
      <c r="DI633" s="180"/>
      <c r="DJ633" s="180"/>
      <c r="DK633" s="180"/>
      <c r="DL633" s="180"/>
      <c r="DM633" s="180"/>
      <c r="DN633" s="180"/>
      <c r="DO633" s="180"/>
      <c r="DP633" s="180"/>
      <c r="DQ633" s="173"/>
      <c r="DR633" s="173"/>
      <c r="DS633" s="173"/>
      <c r="DT633" s="173"/>
      <c r="DU633" s="173"/>
      <c r="DV633" s="198"/>
    </row>
    <row r="634" spans="1:126" x14ac:dyDescent="0.2">
      <c r="A634" s="3">
        <v>215</v>
      </c>
      <c r="B634" s="3" t="s">
        <v>330</v>
      </c>
      <c r="CG634" s="179"/>
      <c r="CH634" s="197"/>
      <c r="CI634" s="180"/>
      <c r="CJ634" s="180"/>
      <c r="CK634" s="180"/>
      <c r="CL634" s="180"/>
      <c r="CM634" s="180"/>
      <c r="CN634" s="180"/>
      <c r="CO634" s="180"/>
      <c r="CP634" s="180"/>
      <c r="CQ634" s="180"/>
      <c r="CR634" s="180"/>
      <c r="CS634" s="180"/>
      <c r="CT634" s="180"/>
      <c r="CU634" s="180"/>
      <c r="CV634" s="173"/>
      <c r="CW634" s="173"/>
      <c r="CX634" s="173"/>
      <c r="CY634" s="173"/>
      <c r="CZ634" s="173"/>
      <c r="DA634" s="198"/>
      <c r="DC634" s="197"/>
      <c r="DD634" s="180"/>
      <c r="DE634" s="180"/>
      <c r="DF634" s="180"/>
      <c r="DG634" s="180"/>
      <c r="DH634" s="180"/>
      <c r="DI634" s="180"/>
      <c r="DJ634" s="180"/>
      <c r="DK634" s="180"/>
      <c r="DL634" s="180"/>
      <c r="DM634" s="180"/>
      <c r="DN634" s="180"/>
      <c r="DO634" s="180"/>
      <c r="DP634" s="180"/>
      <c r="DQ634" s="173"/>
      <c r="DR634" s="173"/>
      <c r="DS634" s="173"/>
      <c r="DT634" s="173"/>
      <c r="DU634" s="173"/>
      <c r="DV634" s="198"/>
    </row>
    <row r="635" spans="1:126" x14ac:dyDescent="0.2">
      <c r="A635" s="3">
        <v>216</v>
      </c>
      <c r="B635" s="3" t="s">
        <v>331</v>
      </c>
      <c r="CG635" s="179"/>
      <c r="CH635" s="197"/>
      <c r="CI635" s="180"/>
      <c r="CJ635" s="180"/>
      <c r="CK635" s="180"/>
      <c r="CL635" s="180"/>
      <c r="CM635" s="180"/>
      <c r="CN635" s="180"/>
      <c r="CO635" s="180"/>
      <c r="CP635" s="180"/>
      <c r="CQ635" s="180"/>
      <c r="CR635" s="180"/>
      <c r="CS635" s="180"/>
      <c r="CT635" s="180"/>
      <c r="CU635" s="180"/>
      <c r="CV635" s="173"/>
      <c r="CW635" s="173"/>
      <c r="CX635" s="173"/>
      <c r="CY635" s="173"/>
      <c r="CZ635" s="173"/>
      <c r="DA635" s="198"/>
      <c r="DC635" s="197"/>
      <c r="DD635" s="180"/>
      <c r="DE635" s="180"/>
      <c r="DF635" s="180"/>
      <c r="DG635" s="180"/>
      <c r="DH635" s="180"/>
      <c r="DI635" s="180"/>
      <c r="DJ635" s="180"/>
      <c r="DK635" s="180"/>
      <c r="DL635" s="180"/>
      <c r="DM635" s="180"/>
      <c r="DN635" s="180"/>
      <c r="DO635" s="180"/>
      <c r="DP635" s="180"/>
      <c r="DQ635" s="173"/>
      <c r="DR635" s="173"/>
      <c r="DS635" s="173"/>
      <c r="DT635" s="173"/>
      <c r="DU635" s="173"/>
      <c r="DV635" s="198"/>
    </row>
    <row r="636" spans="1:126" x14ac:dyDescent="0.2">
      <c r="A636" s="3">
        <v>217</v>
      </c>
      <c r="B636" s="3" t="s">
        <v>332</v>
      </c>
      <c r="CG636" s="179"/>
      <c r="CH636" s="197"/>
      <c r="CI636" s="180"/>
      <c r="CJ636" s="180"/>
      <c r="CK636" s="180"/>
      <c r="CL636" s="180"/>
      <c r="CM636" s="180"/>
      <c r="CN636" s="180"/>
      <c r="CO636" s="180"/>
      <c r="CP636" s="180"/>
      <c r="CQ636" s="180"/>
      <c r="CR636" s="180"/>
      <c r="CS636" s="180"/>
      <c r="CT636" s="180"/>
      <c r="CU636" s="180"/>
      <c r="CV636" s="173"/>
      <c r="CW636" s="173"/>
      <c r="CX636" s="173"/>
      <c r="CY636" s="173"/>
      <c r="CZ636" s="173"/>
      <c r="DA636" s="198"/>
      <c r="DC636" s="197"/>
      <c r="DD636" s="180"/>
      <c r="DE636" s="180"/>
      <c r="DF636" s="180"/>
      <c r="DG636" s="180"/>
      <c r="DH636" s="180"/>
      <c r="DI636" s="180"/>
      <c r="DJ636" s="180"/>
      <c r="DK636" s="180"/>
      <c r="DL636" s="180"/>
      <c r="DM636" s="180"/>
      <c r="DN636" s="180"/>
      <c r="DO636" s="180"/>
      <c r="DP636" s="180"/>
      <c r="DQ636" s="173"/>
      <c r="DR636" s="173"/>
      <c r="DS636" s="173"/>
      <c r="DT636" s="173"/>
      <c r="DU636" s="173"/>
      <c r="DV636" s="198"/>
    </row>
    <row r="637" spans="1:126" x14ac:dyDescent="0.2">
      <c r="A637" s="3">
        <v>218</v>
      </c>
      <c r="B637" s="3" t="s">
        <v>333</v>
      </c>
      <c r="CG637" s="179"/>
      <c r="CH637" s="197"/>
      <c r="CI637" s="180"/>
      <c r="CJ637" s="180"/>
      <c r="CK637" s="180"/>
      <c r="CL637" s="180"/>
      <c r="CM637" s="180"/>
      <c r="CN637" s="180"/>
      <c r="CO637" s="180"/>
      <c r="CP637" s="180"/>
      <c r="CQ637" s="180"/>
      <c r="CR637" s="180"/>
      <c r="CS637" s="180"/>
      <c r="CT637" s="180"/>
      <c r="CU637" s="180"/>
      <c r="CV637" s="173"/>
      <c r="CW637" s="173"/>
      <c r="CX637" s="173"/>
      <c r="CY637" s="173"/>
      <c r="CZ637" s="173"/>
      <c r="DA637" s="198"/>
      <c r="DC637" s="197"/>
      <c r="DD637" s="180"/>
      <c r="DE637" s="180"/>
      <c r="DF637" s="180"/>
      <c r="DG637" s="180"/>
      <c r="DH637" s="180"/>
      <c r="DI637" s="180"/>
      <c r="DJ637" s="180"/>
      <c r="DK637" s="180"/>
      <c r="DL637" s="180"/>
      <c r="DM637" s="180"/>
      <c r="DN637" s="180"/>
      <c r="DO637" s="180"/>
      <c r="DP637" s="180"/>
      <c r="DQ637" s="173"/>
      <c r="DR637" s="173"/>
      <c r="DS637" s="173"/>
      <c r="DT637" s="173"/>
      <c r="DU637" s="173"/>
      <c r="DV637" s="198"/>
    </row>
    <row r="638" spans="1:126" x14ac:dyDescent="0.2">
      <c r="A638" s="3">
        <v>219</v>
      </c>
      <c r="B638" s="3" t="s">
        <v>334</v>
      </c>
      <c r="CG638" s="176"/>
      <c r="CH638" s="197"/>
      <c r="CI638" s="180"/>
      <c r="CJ638" s="180"/>
      <c r="CK638" s="180"/>
      <c r="CL638" s="180"/>
      <c r="CM638" s="180"/>
      <c r="CN638" s="180"/>
      <c r="CO638" s="180"/>
      <c r="CP638" s="180"/>
      <c r="CQ638" s="180"/>
      <c r="CR638" s="180"/>
      <c r="CS638" s="180"/>
      <c r="CT638" s="180"/>
      <c r="CU638" s="180"/>
      <c r="CV638" s="173"/>
      <c r="CW638" s="173"/>
      <c r="CX638" s="173"/>
      <c r="CY638" s="173"/>
      <c r="CZ638" s="173"/>
      <c r="DA638" s="198"/>
      <c r="DC638" s="197"/>
      <c r="DD638" s="180"/>
      <c r="DE638" s="180"/>
      <c r="DF638" s="180"/>
      <c r="DG638" s="180"/>
      <c r="DH638" s="180"/>
      <c r="DI638" s="180"/>
      <c r="DJ638" s="180"/>
      <c r="DK638" s="180"/>
      <c r="DL638" s="180"/>
      <c r="DM638" s="180"/>
      <c r="DN638" s="180"/>
      <c r="DO638" s="180"/>
      <c r="DP638" s="180"/>
      <c r="DQ638" s="173"/>
      <c r="DR638" s="173"/>
      <c r="DS638" s="173"/>
      <c r="DT638" s="173"/>
      <c r="DU638" s="173"/>
      <c r="DV638" s="198"/>
    </row>
    <row r="639" spans="1:126" x14ac:dyDescent="0.2">
      <c r="A639" s="3">
        <v>220</v>
      </c>
      <c r="B639" s="3" t="s">
        <v>335</v>
      </c>
      <c r="CG639" s="176"/>
      <c r="CH639" s="197"/>
      <c r="CI639" s="180"/>
      <c r="CJ639" s="180"/>
      <c r="CK639" s="180"/>
      <c r="CL639" s="180"/>
      <c r="CM639" s="180"/>
      <c r="CN639" s="180"/>
      <c r="CO639" s="180"/>
      <c r="CP639" s="180"/>
      <c r="CQ639" s="180"/>
      <c r="CR639" s="180"/>
      <c r="CS639" s="180"/>
      <c r="CT639" s="180"/>
      <c r="CU639" s="180"/>
      <c r="CV639" s="173"/>
      <c r="CW639" s="173"/>
      <c r="CX639" s="173"/>
      <c r="CY639" s="173"/>
      <c r="CZ639" s="173"/>
      <c r="DA639" s="198"/>
      <c r="DC639" s="197"/>
      <c r="DD639" s="180"/>
      <c r="DE639" s="180"/>
      <c r="DF639" s="180"/>
      <c r="DG639" s="180"/>
      <c r="DH639" s="180"/>
      <c r="DI639" s="180"/>
      <c r="DJ639" s="180"/>
      <c r="DK639" s="180"/>
      <c r="DL639" s="180"/>
      <c r="DM639" s="180"/>
      <c r="DN639" s="180"/>
      <c r="DO639" s="180"/>
      <c r="DP639" s="180"/>
      <c r="DQ639" s="173"/>
      <c r="DR639" s="173"/>
      <c r="DS639" s="173"/>
      <c r="DT639" s="173"/>
      <c r="DU639" s="173"/>
      <c r="DV639" s="198"/>
    </row>
    <row r="640" spans="1:126" x14ac:dyDescent="0.2">
      <c r="A640" s="3">
        <v>221</v>
      </c>
      <c r="B640" s="3" t="s">
        <v>336</v>
      </c>
      <c r="CG640" s="176"/>
      <c r="CH640" s="199"/>
      <c r="CI640" s="200"/>
      <c r="CJ640" s="200"/>
      <c r="CK640" s="200"/>
      <c r="CL640" s="200"/>
      <c r="CM640" s="200"/>
      <c r="CN640" s="200"/>
      <c r="CO640" s="200"/>
      <c r="CP640" s="200"/>
      <c r="CQ640" s="201"/>
      <c r="CR640" s="202"/>
      <c r="CS640" s="200"/>
      <c r="CT640" s="200"/>
      <c r="CU640" s="200"/>
      <c r="CV640" s="203"/>
      <c r="CW640" s="203"/>
      <c r="CX640" s="203"/>
      <c r="CY640" s="203"/>
      <c r="CZ640" s="203"/>
      <c r="DA640" s="204"/>
      <c r="DC640" s="199"/>
      <c r="DD640" s="200"/>
      <c r="DE640" s="200"/>
      <c r="DF640" s="200"/>
      <c r="DG640" s="200"/>
      <c r="DH640" s="200"/>
      <c r="DI640" s="200"/>
      <c r="DJ640" s="200"/>
      <c r="DK640" s="200"/>
      <c r="DL640" s="200"/>
      <c r="DM640" s="200"/>
      <c r="DN640" s="200"/>
      <c r="DO640" s="200"/>
      <c r="DP640" s="200"/>
      <c r="DQ640" s="203"/>
      <c r="DR640" s="203"/>
      <c r="DS640" s="203"/>
      <c r="DT640" s="203"/>
      <c r="DU640" s="203"/>
      <c r="DV640" s="204"/>
    </row>
    <row r="641" spans="1:126" x14ac:dyDescent="0.2">
      <c r="A641" s="3">
        <v>222</v>
      </c>
      <c r="B641" s="3" t="s">
        <v>337</v>
      </c>
      <c r="CG641" s="176">
        <v>33</v>
      </c>
      <c r="CH641" s="192"/>
      <c r="CI641" s="193"/>
      <c r="CJ641" s="193"/>
      <c r="CK641" s="193"/>
      <c r="CL641" s="193"/>
      <c r="CM641" s="193"/>
      <c r="CN641" s="193"/>
      <c r="CO641" s="193"/>
      <c r="CP641" s="193"/>
      <c r="CQ641" s="193"/>
      <c r="CR641" s="193"/>
      <c r="CS641" s="193"/>
      <c r="CT641" s="193"/>
      <c r="CU641" s="193"/>
      <c r="CV641" s="194"/>
      <c r="CW641" s="194"/>
      <c r="CX641" s="194"/>
      <c r="CY641" s="194"/>
      <c r="CZ641" s="194"/>
      <c r="DA641" s="195"/>
      <c r="DC641" s="192"/>
      <c r="DD641" s="193"/>
      <c r="DE641" s="193"/>
      <c r="DF641" s="193"/>
      <c r="DG641" s="193"/>
      <c r="DH641" s="193"/>
      <c r="DI641" s="193"/>
      <c r="DJ641" s="193"/>
      <c r="DK641" s="193"/>
      <c r="DL641" s="193"/>
      <c r="DM641" s="193"/>
      <c r="DN641" s="193"/>
      <c r="DO641" s="193"/>
      <c r="DP641" s="193"/>
      <c r="DQ641" s="194"/>
      <c r="DR641" s="194"/>
      <c r="DS641" s="194"/>
      <c r="DT641" s="194"/>
      <c r="DU641" s="194"/>
      <c r="DV641" s="195"/>
    </row>
    <row r="642" spans="1:126" x14ac:dyDescent="0.2">
      <c r="A642" s="3">
        <v>223</v>
      </c>
      <c r="B642" s="3" t="s">
        <v>338</v>
      </c>
      <c r="CG642" s="176"/>
      <c r="CH642" s="169"/>
      <c r="CI642" s="177"/>
      <c r="CJ642" s="177"/>
      <c r="CK642" s="177"/>
      <c r="CL642" s="177"/>
      <c r="CM642" s="177"/>
      <c r="CN642" s="177"/>
      <c r="CO642" s="177"/>
      <c r="CP642" s="177"/>
      <c r="CQ642" s="177"/>
      <c r="CR642" s="177"/>
      <c r="CS642" s="177"/>
      <c r="CT642" s="177"/>
      <c r="CU642" s="177"/>
      <c r="CV642" s="172"/>
      <c r="CW642" s="172"/>
      <c r="CX642" s="172"/>
      <c r="CY642" s="172"/>
      <c r="CZ642" s="172"/>
      <c r="DA642" s="196"/>
      <c r="DC642" s="169"/>
      <c r="DD642" s="177"/>
      <c r="DE642" s="177"/>
      <c r="DF642" s="177"/>
      <c r="DG642" s="177"/>
      <c r="DH642" s="177"/>
      <c r="DI642" s="177"/>
      <c r="DJ642" s="177"/>
      <c r="DK642" s="177"/>
      <c r="DL642" s="177"/>
      <c r="DM642" s="177"/>
      <c r="DN642" s="177"/>
      <c r="DO642" s="177"/>
      <c r="DP642" s="177"/>
      <c r="DQ642" s="172"/>
      <c r="DR642" s="172"/>
      <c r="DS642" s="172"/>
      <c r="DT642" s="172"/>
      <c r="DU642" s="172"/>
      <c r="DV642" s="196"/>
    </row>
    <row r="643" spans="1:126" x14ac:dyDescent="0.2">
      <c r="A643" s="3">
        <v>224</v>
      </c>
      <c r="B643" s="3" t="s">
        <v>339</v>
      </c>
      <c r="CG643" s="131"/>
      <c r="CH643" s="169"/>
      <c r="CI643" s="177"/>
      <c r="CJ643" s="177"/>
      <c r="CK643" s="177"/>
      <c r="CL643" s="177"/>
      <c r="CM643" s="177"/>
      <c r="CN643" s="177"/>
      <c r="CO643" s="177"/>
      <c r="CP643" s="177"/>
      <c r="CQ643" s="177"/>
      <c r="CR643" s="177"/>
      <c r="CS643" s="177"/>
      <c r="CT643" s="177"/>
      <c r="CU643" s="177"/>
      <c r="CV643" s="172"/>
      <c r="CW643" s="172"/>
      <c r="CX643" s="172"/>
      <c r="CY643" s="172"/>
      <c r="CZ643" s="172"/>
      <c r="DA643" s="196"/>
      <c r="DC643" s="169"/>
      <c r="DD643" s="177"/>
      <c r="DE643" s="177"/>
      <c r="DF643" s="177"/>
      <c r="DG643" s="177"/>
      <c r="DH643" s="177"/>
      <c r="DI643" s="177"/>
      <c r="DJ643" s="177"/>
      <c r="DK643" s="177"/>
      <c r="DL643" s="177"/>
      <c r="DM643" s="177"/>
      <c r="DN643" s="177"/>
      <c r="DO643" s="177"/>
      <c r="DP643" s="177"/>
      <c r="DQ643" s="172"/>
      <c r="DR643" s="172"/>
      <c r="DS643" s="172"/>
      <c r="DT643" s="172"/>
      <c r="DU643" s="172"/>
      <c r="DV643" s="196"/>
    </row>
    <row r="644" spans="1:126" x14ac:dyDescent="0.2">
      <c r="A644" s="3">
        <v>225</v>
      </c>
      <c r="B644" s="3" t="s">
        <v>340</v>
      </c>
      <c r="CG644" s="176"/>
      <c r="CH644" s="169"/>
      <c r="CI644" s="177"/>
      <c r="CJ644" s="177"/>
      <c r="CK644" s="177"/>
      <c r="CL644" s="177"/>
      <c r="CM644" s="177"/>
      <c r="CN644" s="177"/>
      <c r="CO644" s="177"/>
      <c r="CP644" s="177"/>
      <c r="CQ644" s="177"/>
      <c r="CR644" s="177"/>
      <c r="CS644" s="177"/>
      <c r="CT644" s="177"/>
      <c r="CU644" s="177"/>
      <c r="CV644" s="172"/>
      <c r="CW644" s="172"/>
      <c r="CX644" s="172"/>
      <c r="CY644" s="172"/>
      <c r="CZ644" s="172"/>
      <c r="DA644" s="196"/>
      <c r="DC644" s="169"/>
      <c r="DD644" s="177"/>
      <c r="DE644" s="177"/>
      <c r="DF644" s="177"/>
      <c r="DG644" s="177"/>
      <c r="DH644" s="177"/>
      <c r="DI644" s="177"/>
      <c r="DJ644" s="177"/>
      <c r="DK644" s="177"/>
      <c r="DL644" s="177"/>
      <c r="DM644" s="177"/>
      <c r="DN644" s="177"/>
      <c r="DO644" s="177"/>
      <c r="DP644" s="177"/>
      <c r="DQ644" s="172"/>
      <c r="DR644" s="172"/>
      <c r="DS644" s="172"/>
      <c r="DT644" s="172"/>
      <c r="DU644" s="172"/>
      <c r="DV644" s="196"/>
    </row>
    <row r="645" spans="1:126" x14ac:dyDescent="0.2">
      <c r="A645" s="3">
        <v>226</v>
      </c>
      <c r="B645" s="3" t="s">
        <v>341</v>
      </c>
      <c r="CG645" s="178"/>
      <c r="CH645" s="169"/>
      <c r="CI645" s="177"/>
      <c r="CJ645" s="177"/>
      <c r="CK645" s="177"/>
      <c r="CL645" s="177"/>
      <c r="CM645" s="177"/>
      <c r="CN645" s="177"/>
      <c r="CO645" s="177"/>
      <c r="CP645" s="177"/>
      <c r="CQ645" s="177"/>
      <c r="CR645" s="177"/>
      <c r="CS645" s="177"/>
      <c r="CT645" s="177"/>
      <c r="CU645" s="177"/>
      <c r="CV645" s="172"/>
      <c r="CW645" s="172"/>
      <c r="CX645" s="172"/>
      <c r="CY645" s="172"/>
      <c r="CZ645" s="172"/>
      <c r="DA645" s="196"/>
      <c r="DC645" s="169"/>
      <c r="DD645" s="177"/>
      <c r="DE645" s="177"/>
      <c r="DF645" s="177"/>
      <c r="DG645" s="177"/>
      <c r="DH645" s="177"/>
      <c r="DI645" s="177"/>
      <c r="DJ645" s="177"/>
      <c r="DK645" s="177"/>
      <c r="DL645" s="177"/>
      <c r="DM645" s="177"/>
      <c r="DN645" s="177"/>
      <c r="DO645" s="177"/>
      <c r="DP645" s="177"/>
      <c r="DQ645" s="172"/>
      <c r="DR645" s="172"/>
      <c r="DS645" s="172"/>
      <c r="DT645" s="172"/>
      <c r="DU645" s="172"/>
      <c r="DV645" s="196"/>
    </row>
    <row r="646" spans="1:126" x14ac:dyDescent="0.2">
      <c r="A646" s="3">
        <v>227</v>
      </c>
      <c r="B646" s="3" t="s">
        <v>342</v>
      </c>
      <c r="CG646" s="179"/>
      <c r="CH646" s="169"/>
      <c r="CI646" s="177"/>
      <c r="CJ646" s="177"/>
      <c r="CK646" s="177"/>
      <c r="CL646" s="177"/>
      <c r="CM646" s="177"/>
      <c r="CN646" s="177"/>
      <c r="CO646" s="177"/>
      <c r="CP646" s="177"/>
      <c r="CQ646" s="177"/>
      <c r="CR646" s="177"/>
      <c r="CS646" s="177"/>
      <c r="CT646" s="177"/>
      <c r="CU646" s="177"/>
      <c r="CV646" s="172"/>
      <c r="CW646" s="172"/>
      <c r="CX646" s="172"/>
      <c r="CY646" s="172"/>
      <c r="CZ646" s="172"/>
      <c r="DA646" s="196"/>
      <c r="DC646" s="169"/>
      <c r="DD646" s="177"/>
      <c r="DE646" s="177"/>
      <c r="DF646" s="177"/>
      <c r="DG646" s="177"/>
      <c r="DH646" s="177"/>
      <c r="DI646" s="177"/>
      <c r="DJ646" s="177"/>
      <c r="DK646" s="177"/>
      <c r="DL646" s="177"/>
      <c r="DM646" s="177"/>
      <c r="DN646" s="177"/>
      <c r="DO646" s="177"/>
      <c r="DP646" s="177"/>
      <c r="DQ646" s="172"/>
      <c r="DR646" s="172"/>
      <c r="DS646" s="172"/>
      <c r="DT646" s="172"/>
      <c r="DU646" s="172"/>
      <c r="DV646" s="196"/>
    </row>
    <row r="647" spans="1:126" x14ac:dyDescent="0.2">
      <c r="A647" s="3">
        <v>228</v>
      </c>
      <c r="B647" s="3" t="s">
        <v>343</v>
      </c>
      <c r="CG647" s="179"/>
      <c r="CH647" s="169"/>
      <c r="CI647" s="177"/>
      <c r="CJ647" s="177"/>
      <c r="CK647" s="177"/>
      <c r="CL647" s="177"/>
      <c r="CM647" s="177"/>
      <c r="CN647" s="177"/>
      <c r="CO647" s="177"/>
      <c r="CP647" s="177"/>
      <c r="CQ647" s="177"/>
      <c r="CR647" s="177"/>
      <c r="CS647" s="177"/>
      <c r="CT647" s="177"/>
      <c r="CU647" s="177"/>
      <c r="CV647" s="172"/>
      <c r="CW647" s="172"/>
      <c r="CX647" s="172"/>
      <c r="CY647" s="172"/>
      <c r="CZ647" s="172"/>
      <c r="DA647" s="196"/>
      <c r="DC647" s="169"/>
      <c r="DD647" s="177"/>
      <c r="DE647" s="177"/>
      <c r="DF647" s="177"/>
      <c r="DG647" s="177"/>
      <c r="DH647" s="177"/>
      <c r="DI647" s="177"/>
      <c r="DJ647" s="177"/>
      <c r="DK647" s="177"/>
      <c r="DL647" s="177"/>
      <c r="DM647" s="177"/>
      <c r="DN647" s="177"/>
      <c r="DO647" s="177"/>
      <c r="DP647" s="177"/>
      <c r="DQ647" s="172"/>
      <c r="DR647" s="172"/>
      <c r="DS647" s="172"/>
      <c r="DT647" s="172"/>
      <c r="DU647" s="172"/>
      <c r="DV647" s="196"/>
    </row>
    <row r="648" spans="1:126" x14ac:dyDescent="0.2">
      <c r="A648" s="3">
        <v>229</v>
      </c>
      <c r="B648" s="3" t="s">
        <v>344</v>
      </c>
      <c r="CG648" s="179"/>
      <c r="CH648" s="169"/>
      <c r="CI648" s="177"/>
      <c r="CJ648" s="177"/>
      <c r="CK648" s="177"/>
      <c r="CL648" s="177"/>
      <c r="CM648" s="177"/>
      <c r="CN648" s="177"/>
      <c r="CO648" s="177"/>
      <c r="CP648" s="177"/>
      <c r="CQ648" s="177"/>
      <c r="CR648" s="177"/>
      <c r="CS648" s="177"/>
      <c r="CT648" s="177"/>
      <c r="CU648" s="177"/>
      <c r="CV648" s="172"/>
      <c r="CW648" s="172"/>
      <c r="CX648" s="172"/>
      <c r="CY648" s="172"/>
      <c r="CZ648" s="172"/>
      <c r="DA648" s="196"/>
      <c r="DC648" s="169"/>
      <c r="DD648" s="177"/>
      <c r="DE648" s="177"/>
      <c r="DF648" s="177"/>
      <c r="DG648" s="177"/>
      <c r="DH648" s="177"/>
      <c r="DI648" s="177"/>
      <c r="DJ648" s="177"/>
      <c r="DK648" s="177"/>
      <c r="DL648" s="177"/>
      <c r="DM648" s="177"/>
      <c r="DN648" s="177"/>
      <c r="DO648" s="177"/>
      <c r="DP648" s="177"/>
      <c r="DQ648" s="172"/>
      <c r="DR648" s="172"/>
      <c r="DS648" s="172"/>
      <c r="DT648" s="172"/>
      <c r="DU648" s="172"/>
      <c r="DV648" s="196"/>
    </row>
    <row r="649" spans="1:126" x14ac:dyDescent="0.2">
      <c r="A649" s="3">
        <v>230</v>
      </c>
      <c r="B649" s="3" t="s">
        <v>345</v>
      </c>
      <c r="CG649" s="179"/>
      <c r="CH649" s="169"/>
      <c r="CI649" s="177"/>
      <c r="CJ649" s="177"/>
      <c r="CK649" s="177"/>
      <c r="CL649" s="177"/>
      <c r="CM649" s="177"/>
      <c r="CN649" s="177"/>
      <c r="CO649" s="177"/>
      <c r="CP649" s="177"/>
      <c r="CQ649" s="177"/>
      <c r="CR649" s="177"/>
      <c r="CS649" s="177"/>
      <c r="CT649" s="177"/>
      <c r="CU649" s="177"/>
      <c r="CV649" s="172"/>
      <c r="CW649" s="172"/>
      <c r="CX649" s="172"/>
      <c r="CY649" s="172"/>
      <c r="CZ649" s="172"/>
      <c r="DA649" s="196"/>
      <c r="DC649" s="169"/>
      <c r="DD649" s="177"/>
      <c r="DE649" s="177"/>
      <c r="DF649" s="177"/>
      <c r="DG649" s="177"/>
      <c r="DH649" s="177"/>
      <c r="DI649" s="177"/>
      <c r="DJ649" s="177"/>
      <c r="DK649" s="177"/>
      <c r="DL649" s="177"/>
      <c r="DM649" s="177"/>
      <c r="DN649" s="177"/>
      <c r="DO649" s="177"/>
      <c r="DP649" s="177"/>
      <c r="DQ649" s="172"/>
      <c r="DR649" s="172"/>
      <c r="DS649" s="172"/>
      <c r="DT649" s="172"/>
      <c r="DU649" s="172"/>
      <c r="DV649" s="196"/>
    </row>
    <row r="650" spans="1:126" x14ac:dyDescent="0.2">
      <c r="A650" s="3">
        <v>231</v>
      </c>
      <c r="B650" s="3" t="s">
        <v>346</v>
      </c>
      <c r="CG650" s="179"/>
      <c r="CH650" s="169"/>
      <c r="CI650" s="177"/>
      <c r="CJ650" s="177"/>
      <c r="CK650" s="177"/>
      <c r="CL650" s="177"/>
      <c r="CM650" s="177"/>
      <c r="CN650" s="177"/>
      <c r="CO650" s="177"/>
      <c r="CP650" s="177"/>
      <c r="CQ650" s="177"/>
      <c r="CR650" s="177"/>
      <c r="CS650" s="177"/>
      <c r="CT650" s="177"/>
      <c r="CU650" s="177"/>
      <c r="CV650" s="172"/>
      <c r="CW650" s="172"/>
      <c r="CX650" s="172"/>
      <c r="CY650" s="172"/>
      <c r="CZ650" s="172"/>
      <c r="DA650" s="196"/>
      <c r="DC650" s="169"/>
      <c r="DD650" s="177"/>
      <c r="DE650" s="177"/>
      <c r="DF650" s="177"/>
      <c r="DG650" s="177"/>
      <c r="DH650" s="177"/>
      <c r="DI650" s="177"/>
      <c r="DJ650" s="177"/>
      <c r="DK650" s="177"/>
      <c r="DL650" s="177"/>
      <c r="DM650" s="177"/>
      <c r="DN650" s="177"/>
      <c r="DO650" s="177"/>
      <c r="DP650" s="177"/>
      <c r="DQ650" s="172"/>
      <c r="DR650" s="172"/>
      <c r="DS650" s="172"/>
      <c r="DT650" s="172"/>
      <c r="DU650" s="172"/>
      <c r="DV650" s="196"/>
    </row>
    <row r="651" spans="1:126" x14ac:dyDescent="0.2">
      <c r="A651" s="3">
        <v>232</v>
      </c>
      <c r="B651" s="3" t="s">
        <v>347</v>
      </c>
      <c r="CG651" s="179"/>
      <c r="CH651" s="169"/>
      <c r="CI651" s="177"/>
      <c r="CJ651" s="177"/>
      <c r="CK651" s="177"/>
      <c r="CL651" s="177"/>
      <c r="CM651" s="177"/>
      <c r="CN651" s="177"/>
      <c r="CO651" s="177"/>
      <c r="CP651" s="177"/>
      <c r="CQ651" s="177"/>
      <c r="CR651" s="177"/>
      <c r="CS651" s="177"/>
      <c r="CT651" s="177"/>
      <c r="CU651" s="177"/>
      <c r="CV651" s="172"/>
      <c r="CW651" s="172"/>
      <c r="CX651" s="172"/>
      <c r="CY651" s="172"/>
      <c r="CZ651" s="172"/>
      <c r="DA651" s="196"/>
      <c r="DC651" s="169"/>
      <c r="DD651" s="177"/>
      <c r="DE651" s="177"/>
      <c r="DF651" s="177"/>
      <c r="DG651" s="177"/>
      <c r="DH651" s="177"/>
      <c r="DI651" s="177"/>
      <c r="DJ651" s="177"/>
      <c r="DK651" s="177"/>
      <c r="DL651" s="177"/>
      <c r="DM651" s="177"/>
      <c r="DN651" s="177"/>
      <c r="DO651" s="177"/>
      <c r="DP651" s="177"/>
      <c r="DQ651" s="172"/>
      <c r="DR651" s="172"/>
      <c r="DS651" s="172"/>
      <c r="DT651" s="172"/>
      <c r="DU651" s="172"/>
      <c r="DV651" s="196"/>
    </row>
    <row r="652" spans="1:126" x14ac:dyDescent="0.2">
      <c r="A652" s="3">
        <v>233</v>
      </c>
      <c r="B652" s="3" t="s">
        <v>348</v>
      </c>
      <c r="CG652" s="179"/>
      <c r="CH652" s="169"/>
      <c r="CI652" s="177"/>
      <c r="CJ652" s="177"/>
      <c r="CK652" s="177"/>
      <c r="CL652" s="177"/>
      <c r="CM652" s="177"/>
      <c r="CN652" s="177"/>
      <c r="CO652" s="177"/>
      <c r="CP652" s="177"/>
      <c r="CQ652" s="177"/>
      <c r="CR652" s="177"/>
      <c r="CS652" s="177"/>
      <c r="CT652" s="177"/>
      <c r="CU652" s="177"/>
      <c r="CV652" s="172"/>
      <c r="CW652" s="172"/>
      <c r="CX652" s="172"/>
      <c r="CY652" s="172"/>
      <c r="CZ652" s="172"/>
      <c r="DA652" s="196"/>
      <c r="DC652" s="169"/>
      <c r="DD652" s="177"/>
      <c r="DE652" s="177"/>
      <c r="DF652" s="177"/>
      <c r="DG652" s="177"/>
      <c r="DH652" s="177"/>
      <c r="DI652" s="177"/>
      <c r="DJ652" s="177"/>
      <c r="DK652" s="177"/>
      <c r="DL652" s="177"/>
      <c r="DM652" s="177"/>
      <c r="DN652" s="177"/>
      <c r="DO652" s="177"/>
      <c r="DP652" s="177"/>
      <c r="DQ652" s="172"/>
      <c r="DR652" s="172"/>
      <c r="DS652" s="172"/>
      <c r="DT652" s="172"/>
      <c r="DU652" s="172"/>
      <c r="DV652" s="196"/>
    </row>
    <row r="653" spans="1:126" x14ac:dyDescent="0.2">
      <c r="A653" s="3">
        <v>234</v>
      </c>
      <c r="B653" s="3" t="s">
        <v>349</v>
      </c>
      <c r="CG653" s="179"/>
      <c r="CH653" s="197"/>
      <c r="CI653" s="180"/>
      <c r="CJ653" s="180"/>
      <c r="CK653" s="180"/>
      <c r="CL653" s="180"/>
      <c r="CM653" s="180"/>
      <c r="CN653" s="180"/>
      <c r="CO653" s="180"/>
      <c r="CP653" s="180"/>
      <c r="CQ653" s="180"/>
      <c r="CR653" s="180"/>
      <c r="CS653" s="180"/>
      <c r="CT653" s="180"/>
      <c r="CU653" s="180"/>
      <c r="CV653" s="173"/>
      <c r="CW653" s="173"/>
      <c r="CX653" s="173"/>
      <c r="CY653" s="173"/>
      <c r="CZ653" s="173"/>
      <c r="DA653" s="198"/>
      <c r="DC653" s="197"/>
      <c r="DD653" s="180"/>
      <c r="DE653" s="180"/>
      <c r="DF653" s="180"/>
      <c r="DG653" s="180"/>
      <c r="DH653" s="180"/>
      <c r="DI653" s="180"/>
      <c r="DJ653" s="180"/>
      <c r="DK653" s="180"/>
      <c r="DL653" s="180"/>
      <c r="DM653" s="180"/>
      <c r="DN653" s="180"/>
      <c r="DO653" s="180"/>
      <c r="DP653" s="180"/>
      <c r="DQ653" s="173"/>
      <c r="DR653" s="173"/>
      <c r="DS653" s="173"/>
      <c r="DT653" s="173"/>
      <c r="DU653" s="173"/>
      <c r="DV653" s="198"/>
    </row>
    <row r="654" spans="1:126" x14ac:dyDescent="0.2">
      <c r="A654" s="3">
        <v>235</v>
      </c>
      <c r="B654" s="3" t="s">
        <v>350</v>
      </c>
      <c r="CG654" s="179"/>
      <c r="CH654" s="197"/>
      <c r="CI654" s="180"/>
      <c r="CJ654" s="180"/>
      <c r="CK654" s="180"/>
      <c r="CL654" s="180"/>
      <c r="CM654" s="180"/>
      <c r="CN654" s="180"/>
      <c r="CO654" s="180"/>
      <c r="CP654" s="180"/>
      <c r="CQ654" s="180"/>
      <c r="CR654" s="180"/>
      <c r="CS654" s="180"/>
      <c r="CT654" s="180"/>
      <c r="CU654" s="180"/>
      <c r="CV654" s="173"/>
      <c r="CW654" s="173"/>
      <c r="CX654" s="173"/>
      <c r="CY654" s="173"/>
      <c r="CZ654" s="173"/>
      <c r="DA654" s="198"/>
      <c r="DC654" s="197"/>
      <c r="DD654" s="180"/>
      <c r="DE654" s="180"/>
      <c r="DF654" s="180"/>
      <c r="DG654" s="180"/>
      <c r="DH654" s="180"/>
      <c r="DI654" s="180"/>
      <c r="DJ654" s="180"/>
      <c r="DK654" s="180"/>
      <c r="DL654" s="180"/>
      <c r="DM654" s="180"/>
      <c r="DN654" s="180"/>
      <c r="DO654" s="180"/>
      <c r="DP654" s="180"/>
      <c r="DQ654" s="173"/>
      <c r="DR654" s="173"/>
      <c r="DS654" s="173"/>
      <c r="DT654" s="173"/>
      <c r="DU654" s="173"/>
      <c r="DV654" s="198"/>
    </row>
    <row r="655" spans="1:126" x14ac:dyDescent="0.2">
      <c r="A655" s="3">
        <v>236</v>
      </c>
      <c r="B655" s="3" t="s">
        <v>351</v>
      </c>
      <c r="CG655" s="179"/>
      <c r="CH655" s="197"/>
      <c r="CI655" s="180"/>
      <c r="CJ655" s="180"/>
      <c r="CK655" s="180"/>
      <c r="CL655" s="180"/>
      <c r="CM655" s="180"/>
      <c r="CN655" s="180"/>
      <c r="CO655" s="180"/>
      <c r="CP655" s="180"/>
      <c r="CQ655" s="180"/>
      <c r="CR655" s="180"/>
      <c r="CS655" s="180"/>
      <c r="CT655" s="180"/>
      <c r="CU655" s="180"/>
      <c r="CV655" s="173"/>
      <c r="CW655" s="173"/>
      <c r="CX655" s="173"/>
      <c r="CY655" s="173"/>
      <c r="CZ655" s="173"/>
      <c r="DA655" s="198"/>
      <c r="DC655" s="197"/>
      <c r="DD655" s="180"/>
      <c r="DE655" s="180"/>
      <c r="DF655" s="180"/>
      <c r="DG655" s="180"/>
      <c r="DH655" s="180"/>
      <c r="DI655" s="180"/>
      <c r="DJ655" s="180"/>
      <c r="DK655" s="180"/>
      <c r="DL655" s="180"/>
      <c r="DM655" s="180"/>
      <c r="DN655" s="180"/>
      <c r="DO655" s="180"/>
      <c r="DP655" s="180"/>
      <c r="DQ655" s="173"/>
      <c r="DR655" s="173"/>
      <c r="DS655" s="173"/>
      <c r="DT655" s="173"/>
      <c r="DU655" s="173"/>
      <c r="DV655" s="198"/>
    </row>
    <row r="656" spans="1:126" x14ac:dyDescent="0.2">
      <c r="A656" s="3">
        <v>237</v>
      </c>
      <c r="B656" s="3" t="s">
        <v>352</v>
      </c>
      <c r="CG656" s="179"/>
      <c r="CH656" s="197"/>
      <c r="CI656" s="180"/>
      <c r="CJ656" s="180"/>
      <c r="CK656" s="180"/>
      <c r="CL656" s="180"/>
      <c r="CM656" s="180"/>
      <c r="CN656" s="180"/>
      <c r="CO656" s="180"/>
      <c r="CP656" s="180"/>
      <c r="CQ656" s="180"/>
      <c r="CR656" s="180"/>
      <c r="CS656" s="180"/>
      <c r="CT656" s="180"/>
      <c r="CU656" s="180"/>
      <c r="CV656" s="173"/>
      <c r="CW656" s="173"/>
      <c r="CX656" s="173"/>
      <c r="CY656" s="173"/>
      <c r="CZ656" s="173"/>
      <c r="DA656" s="198"/>
      <c r="DC656" s="197"/>
      <c r="DD656" s="180"/>
      <c r="DE656" s="180"/>
      <c r="DF656" s="180"/>
      <c r="DG656" s="180"/>
      <c r="DH656" s="180"/>
      <c r="DI656" s="180"/>
      <c r="DJ656" s="180"/>
      <c r="DK656" s="180"/>
      <c r="DL656" s="180"/>
      <c r="DM656" s="180"/>
      <c r="DN656" s="180"/>
      <c r="DO656" s="180"/>
      <c r="DP656" s="180"/>
      <c r="DQ656" s="173"/>
      <c r="DR656" s="173"/>
      <c r="DS656" s="173"/>
      <c r="DT656" s="173"/>
      <c r="DU656" s="173"/>
      <c r="DV656" s="198"/>
    </row>
    <row r="657" spans="1:126" x14ac:dyDescent="0.2">
      <c r="A657" s="3">
        <v>238</v>
      </c>
      <c r="B657" s="3" t="s">
        <v>353</v>
      </c>
      <c r="CG657" s="179"/>
      <c r="CH657" s="197"/>
      <c r="CI657" s="180"/>
      <c r="CJ657" s="180"/>
      <c r="CK657" s="180"/>
      <c r="CL657" s="180"/>
      <c r="CM657" s="180"/>
      <c r="CN657" s="180"/>
      <c r="CO657" s="180"/>
      <c r="CP657" s="180"/>
      <c r="CQ657" s="180"/>
      <c r="CR657" s="180"/>
      <c r="CS657" s="180"/>
      <c r="CT657" s="180"/>
      <c r="CU657" s="180"/>
      <c r="CV657" s="173"/>
      <c r="CW657" s="173"/>
      <c r="CX657" s="173"/>
      <c r="CY657" s="173"/>
      <c r="CZ657" s="173"/>
      <c r="DA657" s="198"/>
      <c r="DC657" s="197"/>
      <c r="DD657" s="180"/>
      <c r="DE657" s="180"/>
      <c r="DF657" s="180"/>
      <c r="DG657" s="180"/>
      <c r="DH657" s="180"/>
      <c r="DI657" s="180"/>
      <c r="DJ657" s="180"/>
      <c r="DK657" s="180"/>
      <c r="DL657" s="180"/>
      <c r="DM657" s="180"/>
      <c r="DN657" s="180"/>
      <c r="DO657" s="180"/>
      <c r="DP657" s="180"/>
      <c r="DQ657" s="173"/>
      <c r="DR657" s="173"/>
      <c r="DS657" s="173"/>
      <c r="DT657" s="173"/>
      <c r="DU657" s="173"/>
      <c r="DV657" s="198"/>
    </row>
    <row r="658" spans="1:126" x14ac:dyDescent="0.2">
      <c r="A658" s="3">
        <v>239</v>
      </c>
      <c r="B658" s="3" t="s">
        <v>354</v>
      </c>
      <c r="CG658" s="176"/>
      <c r="CH658" s="197"/>
      <c r="CI658" s="180"/>
      <c r="CJ658" s="180"/>
      <c r="CK658" s="180"/>
      <c r="CL658" s="180"/>
      <c r="CM658" s="180"/>
      <c r="CN658" s="180"/>
      <c r="CO658" s="180"/>
      <c r="CP658" s="180"/>
      <c r="CQ658" s="180"/>
      <c r="CR658" s="180"/>
      <c r="CS658" s="180"/>
      <c r="CT658" s="180"/>
      <c r="CU658" s="180"/>
      <c r="CV658" s="173"/>
      <c r="CW658" s="173"/>
      <c r="CX658" s="173"/>
      <c r="CY658" s="173"/>
      <c r="CZ658" s="173"/>
      <c r="DA658" s="198"/>
      <c r="DC658" s="197"/>
      <c r="DD658" s="180"/>
      <c r="DE658" s="180"/>
      <c r="DF658" s="180"/>
      <c r="DG658" s="180"/>
      <c r="DH658" s="180"/>
      <c r="DI658" s="180"/>
      <c r="DJ658" s="180"/>
      <c r="DK658" s="180"/>
      <c r="DL658" s="180"/>
      <c r="DM658" s="180"/>
      <c r="DN658" s="180"/>
      <c r="DO658" s="180"/>
      <c r="DP658" s="180"/>
      <c r="DQ658" s="173"/>
      <c r="DR658" s="173"/>
      <c r="DS658" s="173"/>
      <c r="DT658" s="173"/>
      <c r="DU658" s="173"/>
      <c r="DV658" s="198"/>
    </row>
    <row r="659" spans="1:126" x14ac:dyDescent="0.2">
      <c r="A659" s="3">
        <v>240</v>
      </c>
      <c r="B659" s="3" t="s">
        <v>355</v>
      </c>
      <c r="CG659" s="176"/>
      <c r="CH659" s="197"/>
      <c r="CI659" s="180"/>
      <c r="CJ659" s="180"/>
      <c r="CK659" s="180"/>
      <c r="CL659" s="180"/>
      <c r="CM659" s="180"/>
      <c r="CN659" s="180"/>
      <c r="CO659" s="180"/>
      <c r="CP659" s="180"/>
      <c r="CQ659" s="180"/>
      <c r="CR659" s="180"/>
      <c r="CS659" s="180"/>
      <c r="CT659" s="180"/>
      <c r="CU659" s="180"/>
      <c r="CV659" s="173"/>
      <c r="CW659" s="173"/>
      <c r="CX659" s="173"/>
      <c r="CY659" s="173"/>
      <c r="CZ659" s="173"/>
      <c r="DA659" s="198"/>
      <c r="DC659" s="197"/>
      <c r="DD659" s="180"/>
      <c r="DE659" s="180"/>
      <c r="DF659" s="180"/>
      <c r="DG659" s="180"/>
      <c r="DH659" s="180"/>
      <c r="DI659" s="180"/>
      <c r="DJ659" s="180"/>
      <c r="DK659" s="180"/>
      <c r="DL659" s="180"/>
      <c r="DM659" s="180"/>
      <c r="DN659" s="180"/>
      <c r="DO659" s="180"/>
      <c r="DP659" s="180"/>
      <c r="DQ659" s="173"/>
      <c r="DR659" s="173"/>
      <c r="DS659" s="173"/>
      <c r="DT659" s="173"/>
      <c r="DU659" s="173"/>
      <c r="DV659" s="198"/>
    </row>
    <row r="660" spans="1:126" x14ac:dyDescent="0.2">
      <c r="A660" s="3">
        <v>241</v>
      </c>
      <c r="B660" s="3" t="s">
        <v>356</v>
      </c>
      <c r="CG660" s="176"/>
      <c r="CH660" s="199"/>
      <c r="CI660" s="200"/>
      <c r="CJ660" s="200"/>
      <c r="CK660" s="200"/>
      <c r="CL660" s="200"/>
      <c r="CM660" s="200"/>
      <c r="CN660" s="200"/>
      <c r="CO660" s="200"/>
      <c r="CP660" s="200"/>
      <c r="CQ660" s="201"/>
      <c r="CR660" s="202"/>
      <c r="CS660" s="200"/>
      <c r="CT660" s="200"/>
      <c r="CU660" s="200"/>
      <c r="CV660" s="203"/>
      <c r="CW660" s="203"/>
      <c r="CX660" s="203"/>
      <c r="CY660" s="203"/>
      <c r="CZ660" s="203"/>
      <c r="DA660" s="204"/>
      <c r="DC660" s="199"/>
      <c r="DD660" s="200"/>
      <c r="DE660" s="200"/>
      <c r="DF660" s="200"/>
      <c r="DG660" s="200"/>
      <c r="DH660" s="200"/>
      <c r="DI660" s="200"/>
      <c r="DJ660" s="200"/>
      <c r="DK660" s="200"/>
      <c r="DL660" s="200"/>
      <c r="DM660" s="200"/>
      <c r="DN660" s="200"/>
      <c r="DO660" s="200"/>
      <c r="DP660" s="200"/>
      <c r="DQ660" s="203"/>
      <c r="DR660" s="203"/>
      <c r="DS660" s="203"/>
      <c r="DT660" s="203"/>
      <c r="DU660" s="203"/>
      <c r="DV660" s="204"/>
    </row>
    <row r="661" spans="1:126" x14ac:dyDescent="0.2">
      <c r="A661" s="3">
        <v>242</v>
      </c>
      <c r="B661" s="3" t="s">
        <v>357</v>
      </c>
      <c r="CG661" s="176">
        <v>34</v>
      </c>
      <c r="CH661" s="192"/>
      <c r="CI661" s="193"/>
      <c r="CJ661" s="193"/>
      <c r="CK661" s="193"/>
      <c r="CL661" s="193"/>
      <c r="CM661" s="193"/>
      <c r="CN661" s="193"/>
      <c r="CO661" s="193"/>
      <c r="CP661" s="193"/>
      <c r="CQ661" s="193"/>
      <c r="CR661" s="193"/>
      <c r="CS661" s="193"/>
      <c r="CT661" s="193"/>
      <c r="CU661" s="193"/>
      <c r="CV661" s="194"/>
      <c r="CW661" s="194"/>
      <c r="CX661" s="194"/>
      <c r="CY661" s="194"/>
      <c r="CZ661" s="194"/>
      <c r="DA661" s="195"/>
      <c r="DC661" s="192"/>
      <c r="DD661" s="193"/>
      <c r="DE661" s="193"/>
      <c r="DF661" s="193"/>
      <c r="DG661" s="193"/>
      <c r="DH661" s="193"/>
      <c r="DI661" s="193"/>
      <c r="DJ661" s="193"/>
      <c r="DK661" s="193"/>
      <c r="DL661" s="193"/>
      <c r="DM661" s="193"/>
      <c r="DN661" s="193"/>
      <c r="DO661" s="193"/>
      <c r="DP661" s="193"/>
      <c r="DQ661" s="194"/>
      <c r="DR661" s="194"/>
      <c r="DS661" s="194"/>
      <c r="DT661" s="194"/>
      <c r="DU661" s="194"/>
      <c r="DV661" s="195"/>
    </row>
    <row r="662" spans="1:126" x14ac:dyDescent="0.2">
      <c r="A662" s="3">
        <v>243</v>
      </c>
      <c r="B662" s="3" t="s">
        <v>358</v>
      </c>
      <c r="CG662" s="176"/>
      <c r="CH662" s="169"/>
      <c r="CI662" s="177"/>
      <c r="CJ662" s="177"/>
      <c r="CK662" s="177"/>
      <c r="CL662" s="177"/>
      <c r="CM662" s="177"/>
      <c r="CN662" s="177"/>
      <c r="CO662" s="177"/>
      <c r="CP662" s="177"/>
      <c r="CQ662" s="177"/>
      <c r="CR662" s="177"/>
      <c r="CS662" s="177"/>
      <c r="CT662" s="177"/>
      <c r="CU662" s="177"/>
      <c r="CV662" s="172"/>
      <c r="CW662" s="172"/>
      <c r="CX662" s="172"/>
      <c r="CY662" s="172"/>
      <c r="CZ662" s="172"/>
      <c r="DA662" s="196"/>
      <c r="DC662" s="169"/>
      <c r="DD662" s="177"/>
      <c r="DE662" s="177"/>
      <c r="DF662" s="177"/>
      <c r="DG662" s="177"/>
      <c r="DH662" s="177"/>
      <c r="DI662" s="177"/>
      <c r="DJ662" s="177"/>
      <c r="DK662" s="177"/>
      <c r="DL662" s="177"/>
      <c r="DM662" s="177"/>
      <c r="DN662" s="177"/>
      <c r="DO662" s="177"/>
      <c r="DP662" s="177"/>
      <c r="DQ662" s="172"/>
      <c r="DR662" s="172"/>
      <c r="DS662" s="172"/>
      <c r="DT662" s="172"/>
      <c r="DU662" s="172"/>
      <c r="DV662" s="196"/>
    </row>
    <row r="663" spans="1:126" x14ac:dyDescent="0.2">
      <c r="A663" s="3">
        <v>244</v>
      </c>
      <c r="B663" s="3" t="s">
        <v>359</v>
      </c>
      <c r="CG663" s="131"/>
      <c r="CH663" s="169"/>
      <c r="CI663" s="177"/>
      <c r="CJ663" s="177"/>
      <c r="CK663" s="177"/>
      <c r="CL663" s="177"/>
      <c r="CM663" s="177"/>
      <c r="CN663" s="177"/>
      <c r="CO663" s="177"/>
      <c r="CP663" s="177"/>
      <c r="CQ663" s="177"/>
      <c r="CR663" s="177"/>
      <c r="CS663" s="177"/>
      <c r="CT663" s="177"/>
      <c r="CU663" s="177"/>
      <c r="CV663" s="172"/>
      <c r="CW663" s="172"/>
      <c r="CX663" s="172"/>
      <c r="CY663" s="172"/>
      <c r="CZ663" s="172"/>
      <c r="DA663" s="196"/>
      <c r="DC663" s="169"/>
      <c r="DD663" s="177"/>
      <c r="DE663" s="177"/>
      <c r="DF663" s="177"/>
      <c r="DG663" s="177"/>
      <c r="DH663" s="177"/>
      <c r="DI663" s="177"/>
      <c r="DJ663" s="177"/>
      <c r="DK663" s="177"/>
      <c r="DL663" s="177"/>
      <c r="DM663" s="177"/>
      <c r="DN663" s="177"/>
      <c r="DO663" s="177"/>
      <c r="DP663" s="177"/>
      <c r="DQ663" s="172"/>
      <c r="DR663" s="172"/>
      <c r="DS663" s="172"/>
      <c r="DT663" s="172"/>
      <c r="DU663" s="172"/>
      <c r="DV663" s="196"/>
    </row>
    <row r="664" spans="1:126" x14ac:dyDescent="0.2">
      <c r="A664" s="3">
        <v>245</v>
      </c>
      <c r="B664" s="3" t="s">
        <v>360</v>
      </c>
      <c r="CG664" s="176"/>
      <c r="CH664" s="169"/>
      <c r="CI664" s="177"/>
      <c r="CJ664" s="177"/>
      <c r="CK664" s="177"/>
      <c r="CL664" s="177"/>
      <c r="CM664" s="177"/>
      <c r="CN664" s="177"/>
      <c r="CO664" s="177"/>
      <c r="CP664" s="177"/>
      <c r="CQ664" s="177"/>
      <c r="CR664" s="177"/>
      <c r="CS664" s="177"/>
      <c r="CT664" s="177"/>
      <c r="CU664" s="177"/>
      <c r="CV664" s="172"/>
      <c r="CW664" s="172"/>
      <c r="CX664" s="172"/>
      <c r="CY664" s="172"/>
      <c r="CZ664" s="172"/>
      <c r="DA664" s="196"/>
      <c r="DC664" s="169"/>
      <c r="DD664" s="177"/>
      <c r="DE664" s="177"/>
      <c r="DF664" s="177"/>
      <c r="DG664" s="177"/>
      <c r="DH664" s="177"/>
      <c r="DI664" s="177"/>
      <c r="DJ664" s="177"/>
      <c r="DK664" s="177"/>
      <c r="DL664" s="177"/>
      <c r="DM664" s="177"/>
      <c r="DN664" s="177"/>
      <c r="DO664" s="177"/>
      <c r="DP664" s="177"/>
      <c r="DQ664" s="172"/>
      <c r="DR664" s="172"/>
      <c r="DS664" s="172"/>
      <c r="DT664" s="172"/>
      <c r="DU664" s="172"/>
      <c r="DV664" s="196"/>
    </row>
    <row r="665" spans="1:126" x14ac:dyDescent="0.2">
      <c r="A665" s="3">
        <v>246</v>
      </c>
      <c r="B665" s="3" t="s">
        <v>361</v>
      </c>
      <c r="CG665" s="178"/>
      <c r="CH665" s="169"/>
      <c r="CI665" s="177"/>
      <c r="CJ665" s="177"/>
      <c r="CK665" s="177"/>
      <c r="CL665" s="177"/>
      <c r="CM665" s="177"/>
      <c r="CN665" s="177"/>
      <c r="CO665" s="177"/>
      <c r="CP665" s="177"/>
      <c r="CQ665" s="177"/>
      <c r="CR665" s="177"/>
      <c r="CS665" s="177"/>
      <c r="CT665" s="177"/>
      <c r="CU665" s="177"/>
      <c r="CV665" s="172"/>
      <c r="CW665" s="172"/>
      <c r="CX665" s="172"/>
      <c r="CY665" s="172"/>
      <c r="CZ665" s="172"/>
      <c r="DA665" s="196"/>
      <c r="DC665" s="169"/>
      <c r="DD665" s="177"/>
      <c r="DE665" s="177"/>
      <c r="DF665" s="177"/>
      <c r="DG665" s="177"/>
      <c r="DH665" s="177"/>
      <c r="DI665" s="177"/>
      <c r="DJ665" s="177"/>
      <c r="DK665" s="177"/>
      <c r="DL665" s="177"/>
      <c r="DM665" s="177"/>
      <c r="DN665" s="177"/>
      <c r="DO665" s="177"/>
      <c r="DP665" s="177"/>
      <c r="DQ665" s="172"/>
      <c r="DR665" s="172"/>
      <c r="DS665" s="172"/>
      <c r="DT665" s="172"/>
      <c r="DU665" s="172"/>
      <c r="DV665" s="196"/>
    </row>
    <row r="666" spans="1:126" x14ac:dyDescent="0.2">
      <c r="A666" s="3">
        <v>247</v>
      </c>
      <c r="B666" s="3" t="s">
        <v>362</v>
      </c>
      <c r="CG666" s="179"/>
      <c r="CH666" s="169"/>
      <c r="CI666" s="177"/>
      <c r="CJ666" s="177"/>
      <c r="CK666" s="177"/>
      <c r="CL666" s="177"/>
      <c r="CM666" s="177"/>
      <c r="CN666" s="177"/>
      <c r="CO666" s="177"/>
      <c r="CP666" s="177"/>
      <c r="CQ666" s="177"/>
      <c r="CR666" s="177"/>
      <c r="CS666" s="177"/>
      <c r="CT666" s="177"/>
      <c r="CU666" s="177"/>
      <c r="CV666" s="172"/>
      <c r="CW666" s="172"/>
      <c r="CX666" s="172"/>
      <c r="CY666" s="172"/>
      <c r="CZ666" s="172"/>
      <c r="DA666" s="196"/>
      <c r="DC666" s="169"/>
      <c r="DD666" s="177"/>
      <c r="DE666" s="177"/>
      <c r="DF666" s="177"/>
      <c r="DG666" s="177"/>
      <c r="DH666" s="177"/>
      <c r="DI666" s="177"/>
      <c r="DJ666" s="177"/>
      <c r="DK666" s="177"/>
      <c r="DL666" s="177"/>
      <c r="DM666" s="177"/>
      <c r="DN666" s="177"/>
      <c r="DO666" s="177"/>
      <c r="DP666" s="177"/>
      <c r="DQ666" s="172"/>
      <c r="DR666" s="172"/>
      <c r="DS666" s="172"/>
      <c r="DT666" s="172"/>
      <c r="DU666" s="172"/>
      <c r="DV666" s="196"/>
    </row>
    <row r="667" spans="1:126" x14ac:dyDescent="0.2">
      <c r="A667" s="3">
        <v>248</v>
      </c>
      <c r="B667" s="3" t="s">
        <v>363</v>
      </c>
      <c r="CG667" s="179"/>
      <c r="CH667" s="169"/>
      <c r="CI667" s="177"/>
      <c r="CJ667" s="177"/>
      <c r="CK667" s="177"/>
      <c r="CL667" s="177"/>
      <c r="CM667" s="177"/>
      <c r="CN667" s="177"/>
      <c r="CO667" s="177"/>
      <c r="CP667" s="177"/>
      <c r="CQ667" s="177"/>
      <c r="CR667" s="177"/>
      <c r="CS667" s="177"/>
      <c r="CT667" s="177"/>
      <c r="CU667" s="177"/>
      <c r="CV667" s="172"/>
      <c r="CW667" s="172"/>
      <c r="CX667" s="172"/>
      <c r="CY667" s="172"/>
      <c r="CZ667" s="172"/>
      <c r="DA667" s="196"/>
      <c r="DC667" s="169"/>
      <c r="DD667" s="177"/>
      <c r="DE667" s="177"/>
      <c r="DF667" s="177"/>
      <c r="DG667" s="177"/>
      <c r="DH667" s="177"/>
      <c r="DI667" s="177"/>
      <c r="DJ667" s="177"/>
      <c r="DK667" s="177"/>
      <c r="DL667" s="177"/>
      <c r="DM667" s="177"/>
      <c r="DN667" s="177"/>
      <c r="DO667" s="177"/>
      <c r="DP667" s="177"/>
      <c r="DQ667" s="172"/>
      <c r="DR667" s="172"/>
      <c r="DS667" s="172"/>
      <c r="DT667" s="172"/>
      <c r="DU667" s="172"/>
      <c r="DV667" s="196"/>
    </row>
    <row r="668" spans="1:126" x14ac:dyDescent="0.2">
      <c r="A668" s="3">
        <v>249</v>
      </c>
      <c r="B668" s="3" t="s">
        <v>364</v>
      </c>
      <c r="CG668" s="179"/>
      <c r="CH668" s="169"/>
      <c r="CI668" s="177"/>
      <c r="CJ668" s="177"/>
      <c r="CK668" s="177"/>
      <c r="CL668" s="177"/>
      <c r="CM668" s="177"/>
      <c r="CN668" s="177"/>
      <c r="CO668" s="177"/>
      <c r="CP668" s="177"/>
      <c r="CQ668" s="177"/>
      <c r="CR668" s="177"/>
      <c r="CS668" s="177"/>
      <c r="CT668" s="177"/>
      <c r="CU668" s="177"/>
      <c r="CV668" s="172"/>
      <c r="CW668" s="172"/>
      <c r="CX668" s="172"/>
      <c r="CY668" s="172"/>
      <c r="CZ668" s="172"/>
      <c r="DA668" s="196"/>
      <c r="DC668" s="169"/>
      <c r="DD668" s="177"/>
      <c r="DE668" s="177"/>
      <c r="DF668" s="177"/>
      <c r="DG668" s="177"/>
      <c r="DH668" s="177"/>
      <c r="DI668" s="177"/>
      <c r="DJ668" s="177"/>
      <c r="DK668" s="177"/>
      <c r="DL668" s="177"/>
      <c r="DM668" s="177"/>
      <c r="DN668" s="177"/>
      <c r="DO668" s="177"/>
      <c r="DP668" s="177"/>
      <c r="DQ668" s="172"/>
      <c r="DR668" s="172"/>
      <c r="DS668" s="172"/>
      <c r="DT668" s="172"/>
      <c r="DU668" s="172"/>
      <c r="DV668" s="196"/>
    </row>
    <row r="669" spans="1:126" x14ac:dyDescent="0.2">
      <c r="A669" s="3">
        <v>250</v>
      </c>
      <c r="B669" s="3" t="s">
        <v>365</v>
      </c>
      <c r="CG669" s="179"/>
      <c r="CH669" s="169"/>
      <c r="CI669" s="177"/>
      <c r="CJ669" s="177"/>
      <c r="CK669" s="177"/>
      <c r="CL669" s="177"/>
      <c r="CM669" s="177"/>
      <c r="CN669" s="177"/>
      <c r="CO669" s="177"/>
      <c r="CP669" s="177"/>
      <c r="CQ669" s="177"/>
      <c r="CR669" s="177"/>
      <c r="CS669" s="177"/>
      <c r="CT669" s="177"/>
      <c r="CU669" s="177"/>
      <c r="CV669" s="172"/>
      <c r="CW669" s="172"/>
      <c r="CX669" s="172"/>
      <c r="CY669" s="172"/>
      <c r="CZ669" s="172"/>
      <c r="DA669" s="196"/>
      <c r="DC669" s="169"/>
      <c r="DD669" s="177"/>
      <c r="DE669" s="177"/>
      <c r="DF669" s="177"/>
      <c r="DG669" s="177"/>
      <c r="DH669" s="177"/>
      <c r="DI669" s="177"/>
      <c r="DJ669" s="177"/>
      <c r="DK669" s="177"/>
      <c r="DL669" s="177"/>
      <c r="DM669" s="177"/>
      <c r="DN669" s="177"/>
      <c r="DO669" s="177"/>
      <c r="DP669" s="177"/>
      <c r="DQ669" s="172"/>
      <c r="DR669" s="172"/>
      <c r="DS669" s="172"/>
      <c r="DT669" s="172"/>
      <c r="DU669" s="172"/>
      <c r="DV669" s="196"/>
    </row>
    <row r="670" spans="1:126" x14ac:dyDescent="0.2">
      <c r="A670" s="3">
        <v>251</v>
      </c>
      <c r="B670" s="3" t="s">
        <v>366</v>
      </c>
      <c r="CG670" s="179"/>
      <c r="CH670" s="169"/>
      <c r="CI670" s="177"/>
      <c r="CJ670" s="177"/>
      <c r="CK670" s="177"/>
      <c r="CL670" s="177"/>
      <c r="CM670" s="177"/>
      <c r="CN670" s="177"/>
      <c r="CO670" s="177"/>
      <c r="CP670" s="177"/>
      <c r="CQ670" s="177"/>
      <c r="CR670" s="177"/>
      <c r="CS670" s="177"/>
      <c r="CT670" s="177"/>
      <c r="CU670" s="177"/>
      <c r="CV670" s="172"/>
      <c r="CW670" s="172"/>
      <c r="CX670" s="172"/>
      <c r="CY670" s="172"/>
      <c r="CZ670" s="172"/>
      <c r="DA670" s="196"/>
      <c r="DC670" s="169"/>
      <c r="DD670" s="177"/>
      <c r="DE670" s="177"/>
      <c r="DF670" s="177"/>
      <c r="DG670" s="177"/>
      <c r="DH670" s="177"/>
      <c r="DI670" s="177"/>
      <c r="DJ670" s="177"/>
      <c r="DK670" s="177"/>
      <c r="DL670" s="177"/>
      <c r="DM670" s="177"/>
      <c r="DN670" s="177"/>
      <c r="DO670" s="177"/>
      <c r="DP670" s="177"/>
      <c r="DQ670" s="172"/>
      <c r="DR670" s="172"/>
      <c r="DS670" s="172"/>
      <c r="DT670" s="172"/>
      <c r="DU670" s="172"/>
      <c r="DV670" s="196"/>
    </row>
    <row r="671" spans="1:126" x14ac:dyDescent="0.2">
      <c r="CG671" s="179"/>
      <c r="CH671" s="169"/>
      <c r="CI671" s="177"/>
      <c r="CJ671" s="177"/>
      <c r="CK671" s="177"/>
      <c r="CL671" s="177"/>
      <c r="CM671" s="177"/>
      <c r="CN671" s="177"/>
      <c r="CO671" s="177"/>
      <c r="CP671" s="177"/>
      <c r="CQ671" s="177"/>
      <c r="CR671" s="177"/>
      <c r="CS671" s="177"/>
      <c r="CT671" s="177"/>
      <c r="CU671" s="177"/>
      <c r="CV671" s="172"/>
      <c r="CW671" s="172"/>
      <c r="CX671" s="172"/>
      <c r="CY671" s="172"/>
      <c r="CZ671" s="172"/>
      <c r="DA671" s="196"/>
      <c r="DC671" s="169"/>
      <c r="DD671" s="177"/>
      <c r="DE671" s="177"/>
      <c r="DF671" s="177"/>
      <c r="DG671" s="177"/>
      <c r="DH671" s="177"/>
      <c r="DI671" s="177"/>
      <c r="DJ671" s="177"/>
      <c r="DK671" s="177"/>
      <c r="DL671" s="177"/>
      <c r="DM671" s="177"/>
      <c r="DN671" s="177"/>
      <c r="DO671" s="177"/>
      <c r="DP671" s="177"/>
      <c r="DQ671" s="172"/>
      <c r="DR671" s="172"/>
      <c r="DS671" s="172"/>
      <c r="DT671" s="172"/>
      <c r="DU671" s="172"/>
      <c r="DV671" s="196"/>
    </row>
    <row r="672" spans="1:126" x14ac:dyDescent="0.2">
      <c r="CG672" s="179"/>
      <c r="CH672" s="169"/>
      <c r="CI672" s="177"/>
      <c r="CJ672" s="177"/>
      <c r="CK672" s="177"/>
      <c r="CL672" s="177"/>
      <c r="CM672" s="177"/>
      <c r="CN672" s="177"/>
      <c r="CO672" s="177"/>
      <c r="CP672" s="177"/>
      <c r="CQ672" s="177"/>
      <c r="CR672" s="177"/>
      <c r="CS672" s="177"/>
      <c r="CT672" s="177"/>
      <c r="CU672" s="177"/>
      <c r="CV672" s="172"/>
      <c r="CW672" s="172"/>
      <c r="CX672" s="172"/>
      <c r="CY672" s="172"/>
      <c r="CZ672" s="172"/>
      <c r="DA672" s="196"/>
      <c r="DC672" s="169"/>
      <c r="DD672" s="177"/>
      <c r="DE672" s="177"/>
      <c r="DF672" s="177"/>
      <c r="DG672" s="177"/>
      <c r="DH672" s="177"/>
      <c r="DI672" s="177"/>
      <c r="DJ672" s="177"/>
      <c r="DK672" s="177"/>
      <c r="DL672" s="177"/>
      <c r="DM672" s="177"/>
      <c r="DN672" s="177"/>
      <c r="DO672" s="177"/>
      <c r="DP672" s="177"/>
      <c r="DQ672" s="172"/>
      <c r="DR672" s="172"/>
      <c r="DS672" s="172"/>
      <c r="DT672" s="172"/>
      <c r="DU672" s="172"/>
      <c r="DV672" s="196"/>
    </row>
    <row r="673" spans="85:126" x14ac:dyDescent="0.2">
      <c r="CG673" s="179"/>
      <c r="CH673" s="197"/>
      <c r="CI673" s="180"/>
      <c r="CJ673" s="180"/>
      <c r="CK673" s="180"/>
      <c r="CL673" s="180"/>
      <c r="CM673" s="180"/>
      <c r="CN673" s="180"/>
      <c r="CO673" s="180"/>
      <c r="CP673" s="180"/>
      <c r="CQ673" s="180"/>
      <c r="CR673" s="180"/>
      <c r="CS673" s="180"/>
      <c r="CT673" s="180"/>
      <c r="CU673" s="180"/>
      <c r="CV673" s="173"/>
      <c r="CW673" s="173"/>
      <c r="CX673" s="173"/>
      <c r="CY673" s="173"/>
      <c r="CZ673" s="173"/>
      <c r="DA673" s="198"/>
      <c r="DC673" s="197"/>
      <c r="DD673" s="180"/>
      <c r="DE673" s="180"/>
      <c r="DF673" s="180"/>
      <c r="DG673" s="180"/>
      <c r="DH673" s="180"/>
      <c r="DI673" s="180"/>
      <c r="DJ673" s="180"/>
      <c r="DK673" s="180"/>
      <c r="DL673" s="180"/>
      <c r="DM673" s="180"/>
      <c r="DN673" s="180"/>
      <c r="DO673" s="180"/>
      <c r="DP673" s="180"/>
      <c r="DQ673" s="173"/>
      <c r="DR673" s="173"/>
      <c r="DS673" s="173"/>
      <c r="DT673" s="173"/>
      <c r="DU673" s="173"/>
      <c r="DV673" s="198"/>
    </row>
    <row r="674" spans="85:126" x14ac:dyDescent="0.2">
      <c r="CG674" s="179"/>
      <c r="CH674" s="197"/>
      <c r="CI674" s="180"/>
      <c r="CJ674" s="180"/>
      <c r="CK674" s="180"/>
      <c r="CL674" s="180"/>
      <c r="CM674" s="180"/>
      <c r="CN674" s="180"/>
      <c r="CO674" s="180"/>
      <c r="CP674" s="180"/>
      <c r="CQ674" s="180"/>
      <c r="CR674" s="180"/>
      <c r="CS674" s="180"/>
      <c r="CT674" s="180"/>
      <c r="CU674" s="180"/>
      <c r="CV674" s="173"/>
      <c r="CW674" s="173"/>
      <c r="CX674" s="173"/>
      <c r="CY674" s="173"/>
      <c r="CZ674" s="173"/>
      <c r="DA674" s="198"/>
      <c r="DC674" s="197"/>
      <c r="DD674" s="180"/>
      <c r="DE674" s="180"/>
      <c r="DF674" s="180"/>
      <c r="DG674" s="180"/>
      <c r="DH674" s="180"/>
      <c r="DI674" s="180"/>
      <c r="DJ674" s="180"/>
      <c r="DK674" s="180"/>
      <c r="DL674" s="180"/>
      <c r="DM674" s="180"/>
      <c r="DN674" s="180"/>
      <c r="DO674" s="180"/>
      <c r="DP674" s="180"/>
      <c r="DQ674" s="173"/>
      <c r="DR674" s="173"/>
      <c r="DS674" s="173"/>
      <c r="DT674" s="173"/>
      <c r="DU674" s="173"/>
      <c r="DV674" s="198"/>
    </row>
    <row r="675" spans="85:126" x14ac:dyDescent="0.2">
      <c r="CG675" s="179"/>
      <c r="CH675" s="197"/>
      <c r="CI675" s="180"/>
      <c r="CJ675" s="180"/>
      <c r="CK675" s="180"/>
      <c r="CL675" s="180"/>
      <c r="CM675" s="180"/>
      <c r="CN675" s="180"/>
      <c r="CO675" s="180"/>
      <c r="CP675" s="180"/>
      <c r="CQ675" s="180"/>
      <c r="CR675" s="180"/>
      <c r="CS675" s="180"/>
      <c r="CT675" s="180"/>
      <c r="CU675" s="180"/>
      <c r="CV675" s="173"/>
      <c r="CW675" s="173"/>
      <c r="CX675" s="173"/>
      <c r="CY675" s="173"/>
      <c r="CZ675" s="173"/>
      <c r="DA675" s="198"/>
      <c r="DC675" s="197"/>
      <c r="DD675" s="180"/>
      <c r="DE675" s="180"/>
      <c r="DF675" s="180"/>
      <c r="DG675" s="180"/>
      <c r="DH675" s="180"/>
      <c r="DI675" s="180"/>
      <c r="DJ675" s="180"/>
      <c r="DK675" s="180"/>
      <c r="DL675" s="180"/>
      <c r="DM675" s="180"/>
      <c r="DN675" s="180"/>
      <c r="DO675" s="180"/>
      <c r="DP675" s="180"/>
      <c r="DQ675" s="173"/>
      <c r="DR675" s="173"/>
      <c r="DS675" s="173"/>
      <c r="DT675" s="173"/>
      <c r="DU675" s="173"/>
      <c r="DV675" s="198"/>
    </row>
    <row r="676" spans="85:126" x14ac:dyDescent="0.2">
      <c r="CG676" s="179"/>
      <c r="CH676" s="197"/>
      <c r="CI676" s="180"/>
      <c r="CJ676" s="180"/>
      <c r="CK676" s="180"/>
      <c r="CL676" s="180"/>
      <c r="CM676" s="180"/>
      <c r="CN676" s="180"/>
      <c r="CO676" s="180"/>
      <c r="CP676" s="180"/>
      <c r="CQ676" s="180"/>
      <c r="CR676" s="180"/>
      <c r="CS676" s="180"/>
      <c r="CT676" s="180"/>
      <c r="CU676" s="180"/>
      <c r="CV676" s="173"/>
      <c r="CW676" s="173"/>
      <c r="CX676" s="173"/>
      <c r="CY676" s="173"/>
      <c r="CZ676" s="173"/>
      <c r="DA676" s="198"/>
      <c r="DC676" s="197"/>
      <c r="DD676" s="180"/>
      <c r="DE676" s="180"/>
      <c r="DF676" s="180"/>
      <c r="DG676" s="180"/>
      <c r="DH676" s="180"/>
      <c r="DI676" s="180"/>
      <c r="DJ676" s="180"/>
      <c r="DK676" s="180"/>
      <c r="DL676" s="180"/>
      <c r="DM676" s="180"/>
      <c r="DN676" s="180"/>
      <c r="DO676" s="180"/>
      <c r="DP676" s="180"/>
      <c r="DQ676" s="173"/>
      <c r="DR676" s="173"/>
      <c r="DS676" s="173"/>
      <c r="DT676" s="173"/>
      <c r="DU676" s="173"/>
      <c r="DV676" s="198"/>
    </row>
    <row r="677" spans="85:126" x14ac:dyDescent="0.2">
      <c r="CG677" s="179"/>
      <c r="CH677" s="197"/>
      <c r="CI677" s="180"/>
      <c r="CJ677" s="180"/>
      <c r="CK677" s="180"/>
      <c r="CL677" s="180"/>
      <c r="CM677" s="180"/>
      <c r="CN677" s="180"/>
      <c r="CO677" s="180"/>
      <c r="CP677" s="180"/>
      <c r="CQ677" s="180"/>
      <c r="CR677" s="180"/>
      <c r="CS677" s="180"/>
      <c r="CT677" s="180"/>
      <c r="CU677" s="180"/>
      <c r="CV677" s="173"/>
      <c r="CW677" s="173"/>
      <c r="CX677" s="173"/>
      <c r="CY677" s="173"/>
      <c r="CZ677" s="173"/>
      <c r="DA677" s="198"/>
      <c r="DC677" s="197"/>
      <c r="DD677" s="180"/>
      <c r="DE677" s="180"/>
      <c r="DF677" s="180"/>
      <c r="DG677" s="180"/>
      <c r="DH677" s="180"/>
      <c r="DI677" s="180"/>
      <c r="DJ677" s="180"/>
      <c r="DK677" s="180"/>
      <c r="DL677" s="180"/>
      <c r="DM677" s="180"/>
      <c r="DN677" s="180"/>
      <c r="DO677" s="180"/>
      <c r="DP677" s="180"/>
      <c r="DQ677" s="173"/>
      <c r="DR677" s="173"/>
      <c r="DS677" s="173"/>
      <c r="DT677" s="173"/>
      <c r="DU677" s="173"/>
      <c r="DV677" s="198"/>
    </row>
    <row r="678" spans="85:126" x14ac:dyDescent="0.2">
      <c r="CG678" s="176"/>
      <c r="CH678" s="197"/>
      <c r="CI678" s="180"/>
      <c r="CJ678" s="180"/>
      <c r="CK678" s="180"/>
      <c r="CL678" s="180"/>
      <c r="CM678" s="180"/>
      <c r="CN678" s="180"/>
      <c r="CO678" s="180"/>
      <c r="CP678" s="180"/>
      <c r="CQ678" s="180"/>
      <c r="CR678" s="180"/>
      <c r="CS678" s="180"/>
      <c r="CT678" s="180"/>
      <c r="CU678" s="180"/>
      <c r="CV678" s="173"/>
      <c r="CW678" s="173"/>
      <c r="CX678" s="173"/>
      <c r="CY678" s="173"/>
      <c r="CZ678" s="173"/>
      <c r="DA678" s="198"/>
      <c r="DC678" s="197"/>
      <c r="DD678" s="180"/>
      <c r="DE678" s="180"/>
      <c r="DF678" s="180"/>
      <c r="DG678" s="180"/>
      <c r="DH678" s="180"/>
      <c r="DI678" s="180"/>
      <c r="DJ678" s="180"/>
      <c r="DK678" s="180"/>
      <c r="DL678" s="180"/>
      <c r="DM678" s="180"/>
      <c r="DN678" s="180"/>
      <c r="DO678" s="180"/>
      <c r="DP678" s="180"/>
      <c r="DQ678" s="173"/>
      <c r="DR678" s="173"/>
      <c r="DS678" s="173"/>
      <c r="DT678" s="173"/>
      <c r="DU678" s="173"/>
      <c r="DV678" s="198"/>
    </row>
    <row r="679" spans="85:126" x14ac:dyDescent="0.2">
      <c r="CG679" s="176"/>
      <c r="CH679" s="197"/>
      <c r="CI679" s="180"/>
      <c r="CJ679" s="180"/>
      <c r="CK679" s="180"/>
      <c r="CL679" s="180"/>
      <c r="CM679" s="180"/>
      <c r="CN679" s="180"/>
      <c r="CO679" s="180"/>
      <c r="CP679" s="180"/>
      <c r="CQ679" s="180"/>
      <c r="CR679" s="180"/>
      <c r="CS679" s="180"/>
      <c r="CT679" s="180"/>
      <c r="CU679" s="180"/>
      <c r="CV679" s="173"/>
      <c r="CW679" s="173"/>
      <c r="CX679" s="173"/>
      <c r="CY679" s="173"/>
      <c r="CZ679" s="173"/>
      <c r="DA679" s="198"/>
      <c r="DC679" s="197"/>
      <c r="DD679" s="180"/>
      <c r="DE679" s="180"/>
      <c r="DF679" s="180"/>
      <c r="DG679" s="180"/>
      <c r="DH679" s="180"/>
      <c r="DI679" s="180"/>
      <c r="DJ679" s="180"/>
      <c r="DK679" s="180"/>
      <c r="DL679" s="180"/>
      <c r="DM679" s="180"/>
      <c r="DN679" s="180"/>
      <c r="DO679" s="180"/>
      <c r="DP679" s="180"/>
      <c r="DQ679" s="173"/>
      <c r="DR679" s="173"/>
      <c r="DS679" s="173"/>
      <c r="DT679" s="173"/>
      <c r="DU679" s="173"/>
      <c r="DV679" s="198"/>
    </row>
    <row r="680" spans="85:126" x14ac:dyDescent="0.2">
      <c r="CG680" s="176"/>
      <c r="CH680" s="199"/>
      <c r="CI680" s="200"/>
      <c r="CJ680" s="200"/>
      <c r="CK680" s="200"/>
      <c r="CL680" s="200"/>
      <c r="CM680" s="200"/>
      <c r="CN680" s="200"/>
      <c r="CO680" s="200"/>
      <c r="CP680" s="200"/>
      <c r="CQ680" s="201"/>
      <c r="CR680" s="202"/>
      <c r="CS680" s="200"/>
      <c r="CT680" s="200"/>
      <c r="CU680" s="200"/>
      <c r="CV680" s="203"/>
      <c r="CW680" s="203"/>
      <c r="CX680" s="203"/>
      <c r="CY680" s="203"/>
      <c r="CZ680" s="203"/>
      <c r="DA680" s="204"/>
      <c r="DC680" s="199"/>
      <c r="DD680" s="200"/>
      <c r="DE680" s="200"/>
      <c r="DF680" s="200"/>
      <c r="DG680" s="200"/>
      <c r="DH680" s="200"/>
      <c r="DI680" s="200"/>
      <c r="DJ680" s="200"/>
      <c r="DK680" s="200"/>
      <c r="DL680" s="200"/>
      <c r="DM680" s="200"/>
      <c r="DN680" s="200"/>
      <c r="DO680" s="200"/>
      <c r="DP680" s="200"/>
      <c r="DQ680" s="203"/>
      <c r="DR680" s="203"/>
      <c r="DS680" s="203"/>
      <c r="DT680" s="203"/>
      <c r="DU680" s="203"/>
      <c r="DV680" s="204"/>
    </row>
    <row r="681" spans="85:126" x14ac:dyDescent="0.2">
      <c r="CG681" s="176">
        <v>35</v>
      </c>
      <c r="CH681" s="192"/>
      <c r="CI681" s="193"/>
      <c r="CJ681" s="193"/>
      <c r="CK681" s="193"/>
      <c r="CL681" s="193"/>
      <c r="CM681" s="193"/>
      <c r="CN681" s="193"/>
      <c r="CO681" s="193"/>
      <c r="CP681" s="193"/>
      <c r="CQ681" s="193"/>
      <c r="CR681" s="193"/>
      <c r="CS681" s="193"/>
      <c r="CT681" s="193"/>
      <c r="CU681" s="193"/>
      <c r="CV681" s="194"/>
      <c r="CW681" s="194"/>
      <c r="CX681" s="194"/>
      <c r="CY681" s="194"/>
      <c r="CZ681" s="194"/>
      <c r="DA681" s="195"/>
      <c r="DC681" s="192"/>
      <c r="DD681" s="193"/>
      <c r="DE681" s="193"/>
      <c r="DF681" s="193"/>
      <c r="DG681" s="193"/>
      <c r="DH681" s="193"/>
      <c r="DI681" s="193"/>
      <c r="DJ681" s="193"/>
      <c r="DK681" s="193"/>
      <c r="DL681" s="193"/>
      <c r="DM681" s="193"/>
      <c r="DN681" s="193"/>
      <c r="DO681" s="193"/>
      <c r="DP681" s="193"/>
      <c r="DQ681" s="194"/>
      <c r="DR681" s="194"/>
      <c r="DS681" s="194"/>
      <c r="DT681" s="194"/>
      <c r="DU681" s="194"/>
      <c r="DV681" s="195"/>
    </row>
    <row r="682" spans="85:126" x14ac:dyDescent="0.2">
      <c r="CG682" s="176"/>
      <c r="CH682" s="169"/>
      <c r="CI682" s="177"/>
      <c r="CJ682" s="177"/>
      <c r="CK682" s="177"/>
      <c r="CL682" s="177"/>
      <c r="CM682" s="177"/>
      <c r="CN682" s="177"/>
      <c r="CO682" s="177"/>
      <c r="CP682" s="177"/>
      <c r="CQ682" s="177"/>
      <c r="CR682" s="177"/>
      <c r="CS682" s="177"/>
      <c r="CT682" s="177"/>
      <c r="CU682" s="177"/>
      <c r="CV682" s="172"/>
      <c r="CW682" s="172"/>
      <c r="CX682" s="172"/>
      <c r="CY682" s="172"/>
      <c r="CZ682" s="172"/>
      <c r="DA682" s="196"/>
      <c r="DC682" s="169"/>
      <c r="DD682" s="177"/>
      <c r="DE682" s="177"/>
      <c r="DF682" s="177"/>
      <c r="DG682" s="177"/>
      <c r="DH682" s="177"/>
      <c r="DI682" s="177"/>
      <c r="DJ682" s="177"/>
      <c r="DK682" s="177"/>
      <c r="DL682" s="177"/>
      <c r="DM682" s="177"/>
      <c r="DN682" s="177"/>
      <c r="DO682" s="177"/>
      <c r="DP682" s="177"/>
      <c r="DQ682" s="172"/>
      <c r="DR682" s="172"/>
      <c r="DS682" s="172"/>
      <c r="DT682" s="172"/>
      <c r="DU682" s="172"/>
      <c r="DV682" s="196"/>
    </row>
    <row r="683" spans="85:126" x14ac:dyDescent="0.2">
      <c r="CG683" s="131"/>
      <c r="CH683" s="169"/>
      <c r="CI683" s="177"/>
      <c r="CJ683" s="177"/>
      <c r="CK683" s="177"/>
      <c r="CL683" s="177"/>
      <c r="CM683" s="177"/>
      <c r="CN683" s="177"/>
      <c r="CO683" s="177"/>
      <c r="CP683" s="177"/>
      <c r="CQ683" s="177"/>
      <c r="CR683" s="177"/>
      <c r="CS683" s="177"/>
      <c r="CT683" s="177"/>
      <c r="CU683" s="177"/>
      <c r="CV683" s="172"/>
      <c r="CW683" s="172"/>
      <c r="CX683" s="172"/>
      <c r="CY683" s="172"/>
      <c r="CZ683" s="172"/>
      <c r="DA683" s="196"/>
      <c r="DC683" s="169"/>
      <c r="DD683" s="177"/>
      <c r="DE683" s="177"/>
      <c r="DF683" s="177"/>
      <c r="DG683" s="177"/>
      <c r="DH683" s="177"/>
      <c r="DI683" s="177"/>
      <c r="DJ683" s="177"/>
      <c r="DK683" s="177"/>
      <c r="DL683" s="177"/>
      <c r="DM683" s="177"/>
      <c r="DN683" s="177"/>
      <c r="DO683" s="177"/>
      <c r="DP683" s="177"/>
      <c r="DQ683" s="172"/>
      <c r="DR683" s="172"/>
      <c r="DS683" s="172"/>
      <c r="DT683" s="172"/>
      <c r="DU683" s="172"/>
      <c r="DV683" s="196"/>
    </row>
    <row r="684" spans="85:126" x14ac:dyDescent="0.2">
      <c r="CG684" s="176"/>
      <c r="CH684" s="169"/>
      <c r="CI684" s="177"/>
      <c r="CJ684" s="177"/>
      <c r="CK684" s="177"/>
      <c r="CL684" s="177"/>
      <c r="CM684" s="177"/>
      <c r="CN684" s="177"/>
      <c r="CO684" s="177"/>
      <c r="CP684" s="177"/>
      <c r="CQ684" s="177"/>
      <c r="CR684" s="177"/>
      <c r="CS684" s="177"/>
      <c r="CT684" s="177"/>
      <c r="CU684" s="177"/>
      <c r="CV684" s="172"/>
      <c r="CW684" s="172"/>
      <c r="CX684" s="172"/>
      <c r="CY684" s="172"/>
      <c r="CZ684" s="172"/>
      <c r="DA684" s="196"/>
      <c r="DC684" s="169"/>
      <c r="DD684" s="177"/>
      <c r="DE684" s="177"/>
      <c r="DF684" s="177"/>
      <c r="DG684" s="177"/>
      <c r="DH684" s="177"/>
      <c r="DI684" s="177"/>
      <c r="DJ684" s="177"/>
      <c r="DK684" s="177"/>
      <c r="DL684" s="177"/>
      <c r="DM684" s="177"/>
      <c r="DN684" s="177"/>
      <c r="DO684" s="177"/>
      <c r="DP684" s="177"/>
      <c r="DQ684" s="172"/>
      <c r="DR684" s="172"/>
      <c r="DS684" s="172"/>
      <c r="DT684" s="172"/>
      <c r="DU684" s="172"/>
      <c r="DV684" s="196"/>
    </row>
    <row r="685" spans="85:126" x14ac:dyDescent="0.2">
      <c r="CG685" s="178"/>
      <c r="CH685" s="169"/>
      <c r="CI685" s="177"/>
      <c r="CJ685" s="177"/>
      <c r="CK685" s="177"/>
      <c r="CL685" s="177"/>
      <c r="CM685" s="177"/>
      <c r="CN685" s="177"/>
      <c r="CO685" s="177"/>
      <c r="CP685" s="177"/>
      <c r="CQ685" s="177"/>
      <c r="CR685" s="177"/>
      <c r="CS685" s="177"/>
      <c r="CT685" s="177"/>
      <c r="CU685" s="177"/>
      <c r="CV685" s="172"/>
      <c r="CW685" s="172"/>
      <c r="CX685" s="172"/>
      <c r="CY685" s="172"/>
      <c r="CZ685" s="172"/>
      <c r="DA685" s="196"/>
      <c r="DC685" s="169"/>
      <c r="DD685" s="177"/>
      <c r="DE685" s="177"/>
      <c r="DF685" s="177"/>
      <c r="DG685" s="177"/>
      <c r="DH685" s="177"/>
      <c r="DI685" s="177"/>
      <c r="DJ685" s="177"/>
      <c r="DK685" s="177"/>
      <c r="DL685" s="177"/>
      <c r="DM685" s="177"/>
      <c r="DN685" s="177"/>
      <c r="DO685" s="177"/>
      <c r="DP685" s="177"/>
      <c r="DQ685" s="172"/>
      <c r="DR685" s="172"/>
      <c r="DS685" s="172"/>
      <c r="DT685" s="172"/>
      <c r="DU685" s="172"/>
      <c r="DV685" s="196"/>
    </row>
    <row r="686" spans="85:126" x14ac:dyDescent="0.2">
      <c r="CG686" s="179"/>
      <c r="CH686" s="169"/>
      <c r="CI686" s="177"/>
      <c r="CJ686" s="177"/>
      <c r="CK686" s="177"/>
      <c r="CL686" s="177"/>
      <c r="CM686" s="177"/>
      <c r="CN686" s="177"/>
      <c r="CO686" s="177"/>
      <c r="CP686" s="177"/>
      <c r="CQ686" s="177"/>
      <c r="CR686" s="177"/>
      <c r="CS686" s="177"/>
      <c r="CT686" s="177"/>
      <c r="CU686" s="177"/>
      <c r="CV686" s="172"/>
      <c r="CW686" s="172"/>
      <c r="CX686" s="172"/>
      <c r="CY686" s="172"/>
      <c r="CZ686" s="172"/>
      <c r="DA686" s="196"/>
      <c r="DC686" s="169"/>
      <c r="DD686" s="177"/>
      <c r="DE686" s="177"/>
      <c r="DF686" s="177"/>
      <c r="DG686" s="177"/>
      <c r="DH686" s="177"/>
      <c r="DI686" s="177"/>
      <c r="DJ686" s="177"/>
      <c r="DK686" s="177"/>
      <c r="DL686" s="177"/>
      <c r="DM686" s="177"/>
      <c r="DN686" s="177"/>
      <c r="DO686" s="177"/>
      <c r="DP686" s="177"/>
      <c r="DQ686" s="172"/>
      <c r="DR686" s="172"/>
      <c r="DS686" s="172"/>
      <c r="DT686" s="172"/>
      <c r="DU686" s="172"/>
      <c r="DV686" s="196"/>
    </row>
    <row r="687" spans="85:126" x14ac:dyDescent="0.2">
      <c r="CG687" s="179"/>
      <c r="CH687" s="169"/>
      <c r="CI687" s="177"/>
      <c r="CJ687" s="177"/>
      <c r="CK687" s="177"/>
      <c r="CL687" s="177"/>
      <c r="CM687" s="177"/>
      <c r="CN687" s="177"/>
      <c r="CO687" s="177"/>
      <c r="CP687" s="177"/>
      <c r="CQ687" s="177"/>
      <c r="CR687" s="177"/>
      <c r="CS687" s="177"/>
      <c r="CT687" s="177"/>
      <c r="CU687" s="177"/>
      <c r="CV687" s="172"/>
      <c r="CW687" s="172"/>
      <c r="CX687" s="172"/>
      <c r="CY687" s="172"/>
      <c r="CZ687" s="172"/>
      <c r="DA687" s="196"/>
      <c r="DC687" s="169"/>
      <c r="DD687" s="177"/>
      <c r="DE687" s="177"/>
      <c r="DF687" s="177"/>
      <c r="DG687" s="177"/>
      <c r="DH687" s="177"/>
      <c r="DI687" s="177"/>
      <c r="DJ687" s="177"/>
      <c r="DK687" s="177"/>
      <c r="DL687" s="177"/>
      <c r="DM687" s="177"/>
      <c r="DN687" s="177"/>
      <c r="DO687" s="177"/>
      <c r="DP687" s="177"/>
      <c r="DQ687" s="172"/>
      <c r="DR687" s="172"/>
      <c r="DS687" s="172"/>
      <c r="DT687" s="172"/>
      <c r="DU687" s="172"/>
      <c r="DV687" s="196"/>
    </row>
    <row r="688" spans="85:126" x14ac:dyDescent="0.2">
      <c r="CG688" s="179"/>
      <c r="CH688" s="169"/>
      <c r="CI688" s="177"/>
      <c r="CJ688" s="177"/>
      <c r="CK688" s="177"/>
      <c r="CL688" s="177"/>
      <c r="CM688" s="177"/>
      <c r="CN688" s="177"/>
      <c r="CO688" s="177"/>
      <c r="CP688" s="177"/>
      <c r="CQ688" s="177"/>
      <c r="CR688" s="177"/>
      <c r="CS688" s="177"/>
      <c r="CT688" s="177"/>
      <c r="CU688" s="177"/>
      <c r="CV688" s="172"/>
      <c r="CW688" s="172"/>
      <c r="CX688" s="172"/>
      <c r="CY688" s="172"/>
      <c r="CZ688" s="172"/>
      <c r="DA688" s="196"/>
      <c r="DC688" s="169"/>
      <c r="DD688" s="177"/>
      <c r="DE688" s="177"/>
      <c r="DF688" s="177"/>
      <c r="DG688" s="177"/>
      <c r="DH688" s="177"/>
      <c r="DI688" s="177"/>
      <c r="DJ688" s="177"/>
      <c r="DK688" s="177"/>
      <c r="DL688" s="177"/>
      <c r="DM688" s="177"/>
      <c r="DN688" s="177"/>
      <c r="DO688" s="177"/>
      <c r="DP688" s="177"/>
      <c r="DQ688" s="172"/>
      <c r="DR688" s="172"/>
      <c r="DS688" s="172"/>
      <c r="DT688" s="172"/>
      <c r="DU688" s="172"/>
      <c r="DV688" s="196"/>
    </row>
    <row r="689" spans="85:126" x14ac:dyDescent="0.2">
      <c r="CG689" s="179"/>
      <c r="CH689" s="169"/>
      <c r="CI689" s="177"/>
      <c r="CJ689" s="177"/>
      <c r="CK689" s="177"/>
      <c r="CL689" s="177"/>
      <c r="CM689" s="177"/>
      <c r="CN689" s="177"/>
      <c r="CO689" s="177"/>
      <c r="CP689" s="177"/>
      <c r="CQ689" s="177"/>
      <c r="CR689" s="177"/>
      <c r="CS689" s="177"/>
      <c r="CT689" s="177"/>
      <c r="CU689" s="177"/>
      <c r="CV689" s="172"/>
      <c r="CW689" s="172"/>
      <c r="CX689" s="172"/>
      <c r="CY689" s="172"/>
      <c r="CZ689" s="172"/>
      <c r="DA689" s="196"/>
      <c r="DC689" s="169"/>
      <c r="DD689" s="177"/>
      <c r="DE689" s="177"/>
      <c r="DF689" s="177"/>
      <c r="DG689" s="177"/>
      <c r="DH689" s="177"/>
      <c r="DI689" s="177"/>
      <c r="DJ689" s="177"/>
      <c r="DK689" s="177"/>
      <c r="DL689" s="177"/>
      <c r="DM689" s="177"/>
      <c r="DN689" s="177"/>
      <c r="DO689" s="177"/>
      <c r="DP689" s="177"/>
      <c r="DQ689" s="172"/>
      <c r="DR689" s="172"/>
      <c r="DS689" s="172"/>
      <c r="DT689" s="172"/>
      <c r="DU689" s="172"/>
      <c r="DV689" s="196"/>
    </row>
    <row r="690" spans="85:126" x14ac:dyDescent="0.2">
      <c r="CG690" s="179"/>
      <c r="CH690" s="169"/>
      <c r="CI690" s="177"/>
      <c r="CJ690" s="177"/>
      <c r="CK690" s="177"/>
      <c r="CL690" s="177"/>
      <c r="CM690" s="177"/>
      <c r="CN690" s="177"/>
      <c r="CO690" s="177"/>
      <c r="CP690" s="177"/>
      <c r="CQ690" s="177"/>
      <c r="CR690" s="177"/>
      <c r="CS690" s="177"/>
      <c r="CT690" s="177"/>
      <c r="CU690" s="177"/>
      <c r="CV690" s="172"/>
      <c r="CW690" s="172"/>
      <c r="CX690" s="172"/>
      <c r="CY690" s="172"/>
      <c r="CZ690" s="172"/>
      <c r="DA690" s="196"/>
      <c r="DC690" s="169"/>
      <c r="DD690" s="177"/>
      <c r="DE690" s="177"/>
      <c r="DF690" s="177"/>
      <c r="DG690" s="177"/>
      <c r="DH690" s="177"/>
      <c r="DI690" s="177"/>
      <c r="DJ690" s="177"/>
      <c r="DK690" s="177"/>
      <c r="DL690" s="177"/>
      <c r="DM690" s="177"/>
      <c r="DN690" s="177"/>
      <c r="DO690" s="177"/>
      <c r="DP690" s="177"/>
      <c r="DQ690" s="172"/>
      <c r="DR690" s="172"/>
      <c r="DS690" s="172"/>
      <c r="DT690" s="172"/>
      <c r="DU690" s="172"/>
      <c r="DV690" s="196"/>
    </row>
    <row r="691" spans="85:126" x14ac:dyDescent="0.2">
      <c r="CG691" s="179"/>
      <c r="CH691" s="169"/>
      <c r="CI691" s="177"/>
      <c r="CJ691" s="177"/>
      <c r="CK691" s="177"/>
      <c r="CL691" s="177"/>
      <c r="CM691" s="177"/>
      <c r="CN691" s="177"/>
      <c r="CO691" s="177"/>
      <c r="CP691" s="177"/>
      <c r="CQ691" s="177"/>
      <c r="CR691" s="177"/>
      <c r="CS691" s="177"/>
      <c r="CT691" s="177"/>
      <c r="CU691" s="177"/>
      <c r="CV691" s="172"/>
      <c r="CW691" s="172"/>
      <c r="CX691" s="172"/>
      <c r="CY691" s="172"/>
      <c r="CZ691" s="172"/>
      <c r="DA691" s="196"/>
      <c r="DC691" s="169"/>
      <c r="DD691" s="177"/>
      <c r="DE691" s="177"/>
      <c r="DF691" s="177"/>
      <c r="DG691" s="177"/>
      <c r="DH691" s="177"/>
      <c r="DI691" s="177"/>
      <c r="DJ691" s="177"/>
      <c r="DK691" s="177"/>
      <c r="DL691" s="177"/>
      <c r="DM691" s="177"/>
      <c r="DN691" s="177"/>
      <c r="DO691" s="177"/>
      <c r="DP691" s="177"/>
      <c r="DQ691" s="172"/>
      <c r="DR691" s="172"/>
      <c r="DS691" s="172"/>
      <c r="DT691" s="172"/>
      <c r="DU691" s="172"/>
      <c r="DV691" s="196"/>
    </row>
    <row r="692" spans="85:126" x14ac:dyDescent="0.2">
      <c r="CG692" s="179"/>
      <c r="CH692" s="169"/>
      <c r="CI692" s="177"/>
      <c r="CJ692" s="177"/>
      <c r="CK692" s="177"/>
      <c r="CL692" s="177"/>
      <c r="CM692" s="177"/>
      <c r="CN692" s="177"/>
      <c r="CO692" s="177"/>
      <c r="CP692" s="177"/>
      <c r="CQ692" s="177"/>
      <c r="CR692" s="177"/>
      <c r="CS692" s="177"/>
      <c r="CT692" s="177"/>
      <c r="CU692" s="177"/>
      <c r="CV692" s="172"/>
      <c r="CW692" s="172"/>
      <c r="CX692" s="172"/>
      <c r="CY692" s="172"/>
      <c r="CZ692" s="172"/>
      <c r="DA692" s="196"/>
      <c r="DC692" s="169"/>
      <c r="DD692" s="177"/>
      <c r="DE692" s="177"/>
      <c r="DF692" s="177"/>
      <c r="DG692" s="177"/>
      <c r="DH692" s="177"/>
      <c r="DI692" s="177"/>
      <c r="DJ692" s="177"/>
      <c r="DK692" s="177"/>
      <c r="DL692" s="177"/>
      <c r="DM692" s="177"/>
      <c r="DN692" s="177"/>
      <c r="DO692" s="177"/>
      <c r="DP692" s="177"/>
      <c r="DQ692" s="172"/>
      <c r="DR692" s="172"/>
      <c r="DS692" s="172"/>
      <c r="DT692" s="172"/>
      <c r="DU692" s="172"/>
      <c r="DV692" s="196"/>
    </row>
    <row r="693" spans="85:126" x14ac:dyDescent="0.2">
      <c r="CG693" s="179"/>
      <c r="CH693" s="197"/>
      <c r="CI693" s="180"/>
      <c r="CJ693" s="180"/>
      <c r="CK693" s="180"/>
      <c r="CL693" s="180"/>
      <c r="CM693" s="180"/>
      <c r="CN693" s="180"/>
      <c r="CO693" s="180"/>
      <c r="CP693" s="180"/>
      <c r="CQ693" s="180"/>
      <c r="CR693" s="180"/>
      <c r="CS693" s="180"/>
      <c r="CT693" s="180"/>
      <c r="CU693" s="180"/>
      <c r="CV693" s="173"/>
      <c r="CW693" s="173"/>
      <c r="CX693" s="173"/>
      <c r="CY693" s="173"/>
      <c r="CZ693" s="173"/>
      <c r="DA693" s="198"/>
      <c r="DC693" s="197"/>
      <c r="DD693" s="180"/>
      <c r="DE693" s="180"/>
      <c r="DF693" s="180"/>
      <c r="DG693" s="180"/>
      <c r="DH693" s="180"/>
      <c r="DI693" s="180"/>
      <c r="DJ693" s="180"/>
      <c r="DK693" s="180"/>
      <c r="DL693" s="180"/>
      <c r="DM693" s="180"/>
      <c r="DN693" s="180"/>
      <c r="DO693" s="180"/>
      <c r="DP693" s="180"/>
      <c r="DQ693" s="173"/>
      <c r="DR693" s="173"/>
      <c r="DS693" s="173"/>
      <c r="DT693" s="173"/>
      <c r="DU693" s="173"/>
      <c r="DV693" s="198"/>
    </row>
    <row r="694" spans="85:126" x14ac:dyDescent="0.2">
      <c r="CG694" s="179"/>
      <c r="CH694" s="197"/>
      <c r="CI694" s="180"/>
      <c r="CJ694" s="180"/>
      <c r="CK694" s="180"/>
      <c r="CL694" s="180"/>
      <c r="CM694" s="180"/>
      <c r="CN694" s="180"/>
      <c r="CO694" s="180"/>
      <c r="CP694" s="180"/>
      <c r="CQ694" s="180"/>
      <c r="CR694" s="180"/>
      <c r="CS694" s="180"/>
      <c r="CT694" s="180"/>
      <c r="CU694" s="180"/>
      <c r="CV694" s="173"/>
      <c r="CW694" s="173"/>
      <c r="CX694" s="173"/>
      <c r="CY694" s="173"/>
      <c r="CZ694" s="173"/>
      <c r="DA694" s="198"/>
      <c r="DC694" s="197"/>
      <c r="DD694" s="180"/>
      <c r="DE694" s="180"/>
      <c r="DF694" s="180"/>
      <c r="DG694" s="180"/>
      <c r="DH694" s="180"/>
      <c r="DI694" s="180"/>
      <c r="DJ694" s="180"/>
      <c r="DK694" s="180"/>
      <c r="DL694" s="180"/>
      <c r="DM694" s="180"/>
      <c r="DN694" s="180"/>
      <c r="DO694" s="180"/>
      <c r="DP694" s="180"/>
      <c r="DQ694" s="173"/>
      <c r="DR694" s="173"/>
      <c r="DS694" s="173"/>
      <c r="DT694" s="173"/>
      <c r="DU694" s="173"/>
      <c r="DV694" s="198"/>
    </row>
    <row r="695" spans="85:126" x14ac:dyDescent="0.2">
      <c r="CG695" s="179"/>
      <c r="CH695" s="197"/>
      <c r="CI695" s="180"/>
      <c r="CJ695" s="180"/>
      <c r="CK695" s="180"/>
      <c r="CL695" s="180"/>
      <c r="CM695" s="180"/>
      <c r="CN695" s="180"/>
      <c r="CO695" s="180"/>
      <c r="CP695" s="180"/>
      <c r="CQ695" s="180"/>
      <c r="CR695" s="180"/>
      <c r="CS695" s="180"/>
      <c r="CT695" s="180"/>
      <c r="CU695" s="180"/>
      <c r="CV695" s="173"/>
      <c r="CW695" s="173"/>
      <c r="CX695" s="173"/>
      <c r="CY695" s="173"/>
      <c r="CZ695" s="173"/>
      <c r="DA695" s="198"/>
      <c r="DC695" s="197"/>
      <c r="DD695" s="180"/>
      <c r="DE695" s="180"/>
      <c r="DF695" s="180"/>
      <c r="DG695" s="180"/>
      <c r="DH695" s="180"/>
      <c r="DI695" s="180"/>
      <c r="DJ695" s="180"/>
      <c r="DK695" s="180"/>
      <c r="DL695" s="180"/>
      <c r="DM695" s="180"/>
      <c r="DN695" s="180"/>
      <c r="DO695" s="180"/>
      <c r="DP695" s="180"/>
      <c r="DQ695" s="173"/>
      <c r="DR695" s="173"/>
      <c r="DS695" s="173"/>
      <c r="DT695" s="173"/>
      <c r="DU695" s="173"/>
      <c r="DV695" s="198"/>
    </row>
    <row r="696" spans="85:126" x14ac:dyDescent="0.2">
      <c r="CG696" s="179"/>
      <c r="CH696" s="197"/>
      <c r="CI696" s="180"/>
      <c r="CJ696" s="180"/>
      <c r="CK696" s="180"/>
      <c r="CL696" s="180"/>
      <c r="CM696" s="180"/>
      <c r="CN696" s="180"/>
      <c r="CO696" s="180"/>
      <c r="CP696" s="180"/>
      <c r="CQ696" s="180"/>
      <c r="CR696" s="180"/>
      <c r="CS696" s="180"/>
      <c r="CT696" s="180"/>
      <c r="CU696" s="180"/>
      <c r="CV696" s="173"/>
      <c r="CW696" s="173"/>
      <c r="CX696" s="173"/>
      <c r="CY696" s="173"/>
      <c r="CZ696" s="173"/>
      <c r="DA696" s="198"/>
      <c r="DC696" s="197"/>
      <c r="DD696" s="180"/>
      <c r="DE696" s="180"/>
      <c r="DF696" s="180"/>
      <c r="DG696" s="180"/>
      <c r="DH696" s="180"/>
      <c r="DI696" s="180"/>
      <c r="DJ696" s="180"/>
      <c r="DK696" s="180"/>
      <c r="DL696" s="180"/>
      <c r="DM696" s="180"/>
      <c r="DN696" s="180"/>
      <c r="DO696" s="180"/>
      <c r="DP696" s="180"/>
      <c r="DQ696" s="173"/>
      <c r="DR696" s="173"/>
      <c r="DS696" s="173"/>
      <c r="DT696" s="173"/>
      <c r="DU696" s="173"/>
      <c r="DV696" s="198"/>
    </row>
    <row r="697" spans="85:126" x14ac:dyDescent="0.2">
      <c r="CG697" s="179"/>
      <c r="CH697" s="197"/>
      <c r="CI697" s="180"/>
      <c r="CJ697" s="180"/>
      <c r="CK697" s="180"/>
      <c r="CL697" s="180"/>
      <c r="CM697" s="180"/>
      <c r="CN697" s="180"/>
      <c r="CO697" s="180"/>
      <c r="CP697" s="180"/>
      <c r="CQ697" s="180"/>
      <c r="CR697" s="180"/>
      <c r="CS697" s="180"/>
      <c r="CT697" s="180"/>
      <c r="CU697" s="180"/>
      <c r="CV697" s="173"/>
      <c r="CW697" s="173"/>
      <c r="CX697" s="173"/>
      <c r="CY697" s="173"/>
      <c r="CZ697" s="173"/>
      <c r="DA697" s="198"/>
      <c r="DC697" s="197"/>
      <c r="DD697" s="180"/>
      <c r="DE697" s="180"/>
      <c r="DF697" s="180"/>
      <c r="DG697" s="180"/>
      <c r="DH697" s="180"/>
      <c r="DI697" s="180"/>
      <c r="DJ697" s="180"/>
      <c r="DK697" s="180"/>
      <c r="DL697" s="180"/>
      <c r="DM697" s="180"/>
      <c r="DN697" s="180"/>
      <c r="DO697" s="180"/>
      <c r="DP697" s="180"/>
      <c r="DQ697" s="173"/>
      <c r="DR697" s="173"/>
      <c r="DS697" s="173"/>
      <c r="DT697" s="173"/>
      <c r="DU697" s="173"/>
      <c r="DV697" s="198"/>
    </row>
    <row r="698" spans="85:126" x14ac:dyDescent="0.2">
      <c r="CG698" s="176"/>
      <c r="CH698" s="197"/>
      <c r="CI698" s="180"/>
      <c r="CJ698" s="180"/>
      <c r="CK698" s="180"/>
      <c r="CL698" s="180"/>
      <c r="CM698" s="180"/>
      <c r="CN698" s="180"/>
      <c r="CO698" s="180"/>
      <c r="CP698" s="180"/>
      <c r="CQ698" s="180"/>
      <c r="CR698" s="180"/>
      <c r="CS698" s="180"/>
      <c r="CT698" s="180"/>
      <c r="CU698" s="180"/>
      <c r="CV698" s="173"/>
      <c r="CW698" s="173"/>
      <c r="CX698" s="173"/>
      <c r="CY698" s="173"/>
      <c r="CZ698" s="173"/>
      <c r="DA698" s="198"/>
      <c r="DC698" s="197"/>
      <c r="DD698" s="180"/>
      <c r="DE698" s="180"/>
      <c r="DF698" s="180"/>
      <c r="DG698" s="180"/>
      <c r="DH698" s="180"/>
      <c r="DI698" s="180"/>
      <c r="DJ698" s="180"/>
      <c r="DK698" s="180"/>
      <c r="DL698" s="180"/>
      <c r="DM698" s="180"/>
      <c r="DN698" s="180"/>
      <c r="DO698" s="180"/>
      <c r="DP698" s="180"/>
      <c r="DQ698" s="173"/>
      <c r="DR698" s="173"/>
      <c r="DS698" s="173"/>
      <c r="DT698" s="173"/>
      <c r="DU698" s="173"/>
      <c r="DV698" s="198"/>
    </row>
    <row r="699" spans="85:126" x14ac:dyDescent="0.2">
      <c r="CG699" s="176"/>
      <c r="CH699" s="197"/>
      <c r="CI699" s="180"/>
      <c r="CJ699" s="180"/>
      <c r="CK699" s="180"/>
      <c r="CL699" s="180"/>
      <c r="CM699" s="180"/>
      <c r="CN699" s="180"/>
      <c r="CO699" s="180"/>
      <c r="CP699" s="180"/>
      <c r="CQ699" s="180"/>
      <c r="CR699" s="180"/>
      <c r="CS699" s="180"/>
      <c r="CT699" s="180"/>
      <c r="CU699" s="180"/>
      <c r="CV699" s="173"/>
      <c r="CW699" s="173"/>
      <c r="CX699" s="173"/>
      <c r="CY699" s="173"/>
      <c r="CZ699" s="173"/>
      <c r="DA699" s="198"/>
      <c r="DC699" s="197"/>
      <c r="DD699" s="180"/>
      <c r="DE699" s="180"/>
      <c r="DF699" s="180"/>
      <c r="DG699" s="180"/>
      <c r="DH699" s="180"/>
      <c r="DI699" s="180"/>
      <c r="DJ699" s="180"/>
      <c r="DK699" s="180"/>
      <c r="DL699" s="180"/>
      <c r="DM699" s="180"/>
      <c r="DN699" s="180"/>
      <c r="DO699" s="180"/>
      <c r="DP699" s="180"/>
      <c r="DQ699" s="173"/>
      <c r="DR699" s="173"/>
      <c r="DS699" s="173"/>
      <c r="DT699" s="173"/>
      <c r="DU699" s="173"/>
      <c r="DV699" s="198"/>
    </row>
    <row r="700" spans="85:126" x14ac:dyDescent="0.2">
      <c r="CG700" s="176"/>
      <c r="CH700" s="199"/>
      <c r="CI700" s="200"/>
      <c r="CJ700" s="200"/>
      <c r="CK700" s="200"/>
      <c r="CL700" s="200"/>
      <c r="CM700" s="200"/>
      <c r="CN700" s="200"/>
      <c r="CO700" s="200"/>
      <c r="CP700" s="200"/>
      <c r="CQ700" s="201"/>
      <c r="CR700" s="202"/>
      <c r="CS700" s="200"/>
      <c r="CT700" s="200"/>
      <c r="CU700" s="200"/>
      <c r="CV700" s="203"/>
      <c r="CW700" s="203"/>
      <c r="CX700" s="203"/>
      <c r="CY700" s="203"/>
      <c r="CZ700" s="203"/>
      <c r="DA700" s="204"/>
      <c r="DC700" s="199"/>
      <c r="DD700" s="200"/>
      <c r="DE700" s="200"/>
      <c r="DF700" s="200"/>
      <c r="DG700" s="200"/>
      <c r="DH700" s="200"/>
      <c r="DI700" s="200"/>
      <c r="DJ700" s="200"/>
      <c r="DK700" s="200"/>
      <c r="DL700" s="200"/>
      <c r="DM700" s="200"/>
      <c r="DN700" s="200"/>
      <c r="DO700" s="200"/>
      <c r="DP700" s="200"/>
      <c r="DQ700" s="203"/>
      <c r="DR700" s="203"/>
      <c r="DS700" s="203"/>
      <c r="DT700" s="203"/>
      <c r="DU700" s="203"/>
      <c r="DV700" s="204"/>
    </row>
    <row r="701" spans="85:126" x14ac:dyDescent="0.2">
      <c r="CG701" s="176">
        <v>36</v>
      </c>
      <c r="CH701" s="192"/>
      <c r="CI701" s="193"/>
      <c r="CJ701" s="193"/>
      <c r="CK701" s="193"/>
      <c r="CL701" s="193"/>
      <c r="CM701" s="193"/>
      <c r="CN701" s="193"/>
      <c r="CO701" s="193"/>
      <c r="CP701" s="193"/>
      <c r="CQ701" s="193"/>
      <c r="CR701" s="193"/>
      <c r="CS701" s="193"/>
      <c r="CT701" s="193"/>
      <c r="CU701" s="193"/>
      <c r="CV701" s="194"/>
      <c r="CW701" s="194"/>
      <c r="CX701" s="194"/>
      <c r="CY701" s="194"/>
      <c r="CZ701" s="194"/>
      <c r="DA701" s="195"/>
      <c r="DC701" s="192"/>
      <c r="DD701" s="193"/>
      <c r="DE701" s="193"/>
      <c r="DF701" s="193"/>
      <c r="DG701" s="193"/>
      <c r="DH701" s="193"/>
      <c r="DI701" s="193"/>
      <c r="DJ701" s="193"/>
      <c r="DK701" s="193"/>
      <c r="DL701" s="193"/>
      <c r="DM701" s="193"/>
      <c r="DN701" s="193"/>
      <c r="DO701" s="193"/>
      <c r="DP701" s="193"/>
      <c r="DQ701" s="194"/>
      <c r="DR701" s="194"/>
      <c r="DS701" s="194"/>
      <c r="DT701" s="194"/>
      <c r="DU701" s="194"/>
      <c r="DV701" s="195"/>
    </row>
    <row r="702" spans="85:126" x14ac:dyDescent="0.2">
      <c r="CG702" s="176"/>
      <c r="CH702" s="169"/>
      <c r="CI702" s="177"/>
      <c r="CJ702" s="177"/>
      <c r="CK702" s="177"/>
      <c r="CL702" s="177"/>
      <c r="CM702" s="177"/>
      <c r="CN702" s="177"/>
      <c r="CO702" s="177"/>
      <c r="CP702" s="177"/>
      <c r="CQ702" s="177"/>
      <c r="CR702" s="177"/>
      <c r="CS702" s="177"/>
      <c r="CT702" s="177"/>
      <c r="CU702" s="177"/>
      <c r="CV702" s="172"/>
      <c r="CW702" s="172"/>
      <c r="CX702" s="172"/>
      <c r="CY702" s="172"/>
      <c r="CZ702" s="172"/>
      <c r="DA702" s="196"/>
      <c r="DC702" s="169"/>
      <c r="DD702" s="177"/>
      <c r="DE702" s="177"/>
      <c r="DF702" s="177"/>
      <c r="DG702" s="177"/>
      <c r="DH702" s="177"/>
      <c r="DI702" s="177"/>
      <c r="DJ702" s="177"/>
      <c r="DK702" s="177"/>
      <c r="DL702" s="177"/>
      <c r="DM702" s="177"/>
      <c r="DN702" s="177"/>
      <c r="DO702" s="177"/>
      <c r="DP702" s="177"/>
      <c r="DQ702" s="172"/>
      <c r="DR702" s="172"/>
      <c r="DS702" s="172"/>
      <c r="DT702" s="172"/>
      <c r="DU702" s="172"/>
      <c r="DV702" s="196"/>
    </row>
    <row r="703" spans="85:126" x14ac:dyDescent="0.2">
      <c r="CG703" s="131"/>
      <c r="CH703" s="169"/>
      <c r="CI703" s="177"/>
      <c r="CJ703" s="177"/>
      <c r="CK703" s="177"/>
      <c r="CL703" s="177"/>
      <c r="CM703" s="177"/>
      <c r="CN703" s="177"/>
      <c r="CO703" s="177"/>
      <c r="CP703" s="177"/>
      <c r="CQ703" s="177"/>
      <c r="CR703" s="177"/>
      <c r="CS703" s="177"/>
      <c r="CT703" s="177"/>
      <c r="CU703" s="177"/>
      <c r="CV703" s="172"/>
      <c r="CW703" s="172"/>
      <c r="CX703" s="172"/>
      <c r="CY703" s="172"/>
      <c r="CZ703" s="172"/>
      <c r="DA703" s="196"/>
      <c r="DC703" s="169"/>
      <c r="DD703" s="177"/>
      <c r="DE703" s="177"/>
      <c r="DF703" s="177"/>
      <c r="DG703" s="177"/>
      <c r="DH703" s="177"/>
      <c r="DI703" s="177"/>
      <c r="DJ703" s="177"/>
      <c r="DK703" s="177"/>
      <c r="DL703" s="177"/>
      <c r="DM703" s="177"/>
      <c r="DN703" s="177"/>
      <c r="DO703" s="177"/>
      <c r="DP703" s="177"/>
      <c r="DQ703" s="172"/>
      <c r="DR703" s="172"/>
      <c r="DS703" s="172"/>
      <c r="DT703" s="172"/>
      <c r="DU703" s="172"/>
      <c r="DV703" s="196"/>
    </row>
    <row r="704" spans="85:126" x14ac:dyDescent="0.2">
      <c r="CG704" s="176"/>
      <c r="CH704" s="169"/>
      <c r="CI704" s="177"/>
      <c r="CJ704" s="177"/>
      <c r="CK704" s="177"/>
      <c r="CL704" s="177"/>
      <c r="CM704" s="177"/>
      <c r="CN704" s="177"/>
      <c r="CO704" s="177"/>
      <c r="CP704" s="177"/>
      <c r="CQ704" s="177"/>
      <c r="CR704" s="177"/>
      <c r="CS704" s="177"/>
      <c r="CT704" s="177"/>
      <c r="CU704" s="177"/>
      <c r="CV704" s="172"/>
      <c r="CW704" s="172"/>
      <c r="CX704" s="172"/>
      <c r="CY704" s="172"/>
      <c r="CZ704" s="172"/>
      <c r="DA704" s="196"/>
      <c r="DC704" s="169"/>
      <c r="DD704" s="177"/>
      <c r="DE704" s="177"/>
      <c r="DF704" s="177"/>
      <c r="DG704" s="177"/>
      <c r="DH704" s="177"/>
      <c r="DI704" s="177"/>
      <c r="DJ704" s="177"/>
      <c r="DK704" s="177"/>
      <c r="DL704" s="177"/>
      <c r="DM704" s="177"/>
      <c r="DN704" s="177"/>
      <c r="DO704" s="177"/>
      <c r="DP704" s="177"/>
      <c r="DQ704" s="172"/>
      <c r="DR704" s="172"/>
      <c r="DS704" s="172"/>
      <c r="DT704" s="172"/>
      <c r="DU704" s="172"/>
      <c r="DV704" s="196"/>
    </row>
    <row r="705" spans="85:126" x14ac:dyDescent="0.2">
      <c r="CG705" s="178"/>
      <c r="CH705" s="169"/>
      <c r="CI705" s="177"/>
      <c r="CJ705" s="177"/>
      <c r="CK705" s="177"/>
      <c r="CL705" s="177"/>
      <c r="CM705" s="177"/>
      <c r="CN705" s="177"/>
      <c r="CO705" s="177"/>
      <c r="CP705" s="177"/>
      <c r="CQ705" s="177"/>
      <c r="CR705" s="177"/>
      <c r="CS705" s="177"/>
      <c r="CT705" s="177"/>
      <c r="CU705" s="177"/>
      <c r="CV705" s="172"/>
      <c r="CW705" s="172"/>
      <c r="CX705" s="172"/>
      <c r="CY705" s="172"/>
      <c r="CZ705" s="172"/>
      <c r="DA705" s="196"/>
      <c r="DC705" s="169"/>
      <c r="DD705" s="177"/>
      <c r="DE705" s="177"/>
      <c r="DF705" s="177"/>
      <c r="DG705" s="177"/>
      <c r="DH705" s="177"/>
      <c r="DI705" s="177"/>
      <c r="DJ705" s="177"/>
      <c r="DK705" s="177"/>
      <c r="DL705" s="177"/>
      <c r="DM705" s="177"/>
      <c r="DN705" s="177"/>
      <c r="DO705" s="177"/>
      <c r="DP705" s="177"/>
      <c r="DQ705" s="172"/>
      <c r="DR705" s="172"/>
      <c r="DS705" s="172"/>
      <c r="DT705" s="172"/>
      <c r="DU705" s="172"/>
      <c r="DV705" s="196"/>
    </row>
    <row r="706" spans="85:126" x14ac:dyDescent="0.2">
      <c r="CG706" s="179"/>
      <c r="CH706" s="169"/>
      <c r="CI706" s="177"/>
      <c r="CJ706" s="177"/>
      <c r="CK706" s="177"/>
      <c r="CL706" s="177"/>
      <c r="CM706" s="177"/>
      <c r="CN706" s="177"/>
      <c r="CO706" s="177"/>
      <c r="CP706" s="177"/>
      <c r="CQ706" s="177"/>
      <c r="CR706" s="177"/>
      <c r="CS706" s="177"/>
      <c r="CT706" s="177"/>
      <c r="CU706" s="177"/>
      <c r="CV706" s="172"/>
      <c r="CW706" s="172"/>
      <c r="CX706" s="172"/>
      <c r="CY706" s="172"/>
      <c r="CZ706" s="172"/>
      <c r="DA706" s="196"/>
      <c r="DC706" s="169"/>
      <c r="DD706" s="177"/>
      <c r="DE706" s="177"/>
      <c r="DF706" s="177"/>
      <c r="DG706" s="177"/>
      <c r="DH706" s="177"/>
      <c r="DI706" s="177"/>
      <c r="DJ706" s="177"/>
      <c r="DK706" s="177"/>
      <c r="DL706" s="177"/>
      <c r="DM706" s="177"/>
      <c r="DN706" s="177"/>
      <c r="DO706" s="177"/>
      <c r="DP706" s="177"/>
      <c r="DQ706" s="172"/>
      <c r="DR706" s="172"/>
      <c r="DS706" s="172"/>
      <c r="DT706" s="172"/>
      <c r="DU706" s="172"/>
      <c r="DV706" s="196"/>
    </row>
    <row r="707" spans="85:126" x14ac:dyDescent="0.2">
      <c r="CG707" s="179"/>
      <c r="CH707" s="169"/>
      <c r="CI707" s="177"/>
      <c r="CJ707" s="177"/>
      <c r="CK707" s="177"/>
      <c r="CL707" s="177"/>
      <c r="CM707" s="177"/>
      <c r="CN707" s="177"/>
      <c r="CO707" s="177"/>
      <c r="CP707" s="177"/>
      <c r="CQ707" s="177"/>
      <c r="CR707" s="177"/>
      <c r="CS707" s="177"/>
      <c r="CT707" s="177"/>
      <c r="CU707" s="177"/>
      <c r="CV707" s="172"/>
      <c r="CW707" s="172"/>
      <c r="CX707" s="172"/>
      <c r="CY707" s="172"/>
      <c r="CZ707" s="172"/>
      <c r="DA707" s="196"/>
      <c r="DC707" s="169"/>
      <c r="DD707" s="177"/>
      <c r="DE707" s="177"/>
      <c r="DF707" s="177"/>
      <c r="DG707" s="177"/>
      <c r="DH707" s="177"/>
      <c r="DI707" s="177"/>
      <c r="DJ707" s="177"/>
      <c r="DK707" s="177"/>
      <c r="DL707" s="177"/>
      <c r="DM707" s="177"/>
      <c r="DN707" s="177"/>
      <c r="DO707" s="177"/>
      <c r="DP707" s="177"/>
      <c r="DQ707" s="172"/>
      <c r="DR707" s="172"/>
      <c r="DS707" s="172"/>
      <c r="DT707" s="172"/>
      <c r="DU707" s="172"/>
      <c r="DV707" s="196"/>
    </row>
    <row r="708" spans="85:126" x14ac:dyDescent="0.2">
      <c r="CG708" s="179"/>
      <c r="CH708" s="169"/>
      <c r="CI708" s="177"/>
      <c r="CJ708" s="177"/>
      <c r="CK708" s="177"/>
      <c r="CL708" s="177"/>
      <c r="CM708" s="177"/>
      <c r="CN708" s="177"/>
      <c r="CO708" s="177"/>
      <c r="CP708" s="177"/>
      <c r="CQ708" s="177"/>
      <c r="CR708" s="177"/>
      <c r="CS708" s="177"/>
      <c r="CT708" s="177"/>
      <c r="CU708" s="177"/>
      <c r="CV708" s="172"/>
      <c r="CW708" s="172"/>
      <c r="CX708" s="172"/>
      <c r="CY708" s="172"/>
      <c r="CZ708" s="172"/>
      <c r="DA708" s="196"/>
      <c r="DC708" s="169"/>
      <c r="DD708" s="177"/>
      <c r="DE708" s="177"/>
      <c r="DF708" s="177"/>
      <c r="DG708" s="177"/>
      <c r="DH708" s="177"/>
      <c r="DI708" s="177"/>
      <c r="DJ708" s="177"/>
      <c r="DK708" s="177"/>
      <c r="DL708" s="177"/>
      <c r="DM708" s="177"/>
      <c r="DN708" s="177"/>
      <c r="DO708" s="177"/>
      <c r="DP708" s="177"/>
      <c r="DQ708" s="172"/>
      <c r="DR708" s="172"/>
      <c r="DS708" s="172"/>
      <c r="DT708" s="172"/>
      <c r="DU708" s="172"/>
      <c r="DV708" s="196"/>
    </row>
    <row r="709" spans="85:126" x14ac:dyDescent="0.2">
      <c r="CG709" s="179"/>
      <c r="CH709" s="169"/>
      <c r="CI709" s="177"/>
      <c r="CJ709" s="177"/>
      <c r="CK709" s="177"/>
      <c r="CL709" s="177"/>
      <c r="CM709" s="177"/>
      <c r="CN709" s="177"/>
      <c r="CO709" s="177"/>
      <c r="CP709" s="177"/>
      <c r="CQ709" s="177"/>
      <c r="CR709" s="177"/>
      <c r="CS709" s="177"/>
      <c r="CT709" s="177"/>
      <c r="CU709" s="177"/>
      <c r="CV709" s="172"/>
      <c r="CW709" s="172"/>
      <c r="CX709" s="172"/>
      <c r="CY709" s="172"/>
      <c r="CZ709" s="172"/>
      <c r="DA709" s="196"/>
      <c r="DC709" s="169"/>
      <c r="DD709" s="177"/>
      <c r="DE709" s="177"/>
      <c r="DF709" s="177"/>
      <c r="DG709" s="177"/>
      <c r="DH709" s="177"/>
      <c r="DI709" s="177"/>
      <c r="DJ709" s="177"/>
      <c r="DK709" s="177"/>
      <c r="DL709" s="177"/>
      <c r="DM709" s="177"/>
      <c r="DN709" s="177"/>
      <c r="DO709" s="177"/>
      <c r="DP709" s="177"/>
      <c r="DQ709" s="172"/>
      <c r="DR709" s="172"/>
      <c r="DS709" s="172"/>
      <c r="DT709" s="172"/>
      <c r="DU709" s="172"/>
      <c r="DV709" s="196"/>
    </row>
    <row r="710" spans="85:126" x14ac:dyDescent="0.2">
      <c r="CG710" s="179"/>
      <c r="CH710" s="169"/>
      <c r="CI710" s="177"/>
      <c r="CJ710" s="177"/>
      <c r="CK710" s="177"/>
      <c r="CL710" s="177"/>
      <c r="CM710" s="177"/>
      <c r="CN710" s="177"/>
      <c r="CO710" s="177"/>
      <c r="CP710" s="177"/>
      <c r="CQ710" s="177"/>
      <c r="CR710" s="177"/>
      <c r="CS710" s="177"/>
      <c r="CT710" s="177"/>
      <c r="CU710" s="177"/>
      <c r="CV710" s="172"/>
      <c r="CW710" s="172"/>
      <c r="CX710" s="172"/>
      <c r="CY710" s="172"/>
      <c r="CZ710" s="172"/>
      <c r="DA710" s="196"/>
      <c r="DC710" s="169"/>
      <c r="DD710" s="177"/>
      <c r="DE710" s="177"/>
      <c r="DF710" s="177"/>
      <c r="DG710" s="177"/>
      <c r="DH710" s="177"/>
      <c r="DI710" s="177"/>
      <c r="DJ710" s="177"/>
      <c r="DK710" s="177"/>
      <c r="DL710" s="177"/>
      <c r="DM710" s="177"/>
      <c r="DN710" s="177"/>
      <c r="DO710" s="177"/>
      <c r="DP710" s="177"/>
      <c r="DQ710" s="172"/>
      <c r="DR710" s="172"/>
      <c r="DS710" s="172"/>
      <c r="DT710" s="172"/>
      <c r="DU710" s="172"/>
      <c r="DV710" s="196"/>
    </row>
    <row r="711" spans="85:126" x14ac:dyDescent="0.2">
      <c r="CG711" s="179"/>
      <c r="CH711" s="169"/>
      <c r="CI711" s="177"/>
      <c r="CJ711" s="177"/>
      <c r="CK711" s="177"/>
      <c r="CL711" s="177"/>
      <c r="CM711" s="177"/>
      <c r="CN711" s="177"/>
      <c r="CO711" s="177"/>
      <c r="CP711" s="177"/>
      <c r="CQ711" s="177"/>
      <c r="CR711" s="177"/>
      <c r="CS711" s="177"/>
      <c r="CT711" s="177"/>
      <c r="CU711" s="177"/>
      <c r="CV711" s="172"/>
      <c r="CW711" s="172"/>
      <c r="CX711" s="172"/>
      <c r="CY711" s="172"/>
      <c r="CZ711" s="172"/>
      <c r="DA711" s="196"/>
      <c r="DC711" s="169"/>
      <c r="DD711" s="177"/>
      <c r="DE711" s="177"/>
      <c r="DF711" s="177"/>
      <c r="DG711" s="177"/>
      <c r="DH711" s="177"/>
      <c r="DI711" s="177"/>
      <c r="DJ711" s="177"/>
      <c r="DK711" s="177"/>
      <c r="DL711" s="177"/>
      <c r="DM711" s="177"/>
      <c r="DN711" s="177"/>
      <c r="DO711" s="177"/>
      <c r="DP711" s="177"/>
      <c r="DQ711" s="172"/>
      <c r="DR711" s="172"/>
      <c r="DS711" s="172"/>
      <c r="DT711" s="172"/>
      <c r="DU711" s="172"/>
      <c r="DV711" s="196"/>
    </row>
    <row r="712" spans="85:126" x14ac:dyDescent="0.2">
      <c r="CG712" s="179"/>
      <c r="CH712" s="169"/>
      <c r="CI712" s="177"/>
      <c r="CJ712" s="177"/>
      <c r="CK712" s="177"/>
      <c r="CL712" s="177"/>
      <c r="CM712" s="177"/>
      <c r="CN712" s="177"/>
      <c r="CO712" s="177"/>
      <c r="CP712" s="177"/>
      <c r="CQ712" s="177"/>
      <c r="CR712" s="177"/>
      <c r="CS712" s="177"/>
      <c r="CT712" s="177"/>
      <c r="CU712" s="177"/>
      <c r="CV712" s="172"/>
      <c r="CW712" s="172"/>
      <c r="CX712" s="172"/>
      <c r="CY712" s="172"/>
      <c r="CZ712" s="172"/>
      <c r="DA712" s="196"/>
      <c r="DC712" s="169"/>
      <c r="DD712" s="177"/>
      <c r="DE712" s="177"/>
      <c r="DF712" s="177"/>
      <c r="DG712" s="177"/>
      <c r="DH712" s="177"/>
      <c r="DI712" s="177"/>
      <c r="DJ712" s="177"/>
      <c r="DK712" s="177"/>
      <c r="DL712" s="177"/>
      <c r="DM712" s="177"/>
      <c r="DN712" s="177"/>
      <c r="DO712" s="177"/>
      <c r="DP712" s="177"/>
      <c r="DQ712" s="172"/>
      <c r="DR712" s="172"/>
      <c r="DS712" s="172"/>
      <c r="DT712" s="172"/>
      <c r="DU712" s="172"/>
      <c r="DV712" s="196"/>
    </row>
    <row r="713" spans="85:126" x14ac:dyDescent="0.2">
      <c r="CG713" s="179"/>
      <c r="CH713" s="197"/>
      <c r="CI713" s="180"/>
      <c r="CJ713" s="180"/>
      <c r="CK713" s="180"/>
      <c r="CL713" s="180"/>
      <c r="CM713" s="180"/>
      <c r="CN713" s="180"/>
      <c r="CO713" s="180"/>
      <c r="CP713" s="180"/>
      <c r="CQ713" s="180"/>
      <c r="CR713" s="180"/>
      <c r="CS713" s="180"/>
      <c r="CT713" s="180"/>
      <c r="CU713" s="180"/>
      <c r="CV713" s="173"/>
      <c r="CW713" s="173"/>
      <c r="CX713" s="173"/>
      <c r="CY713" s="173"/>
      <c r="CZ713" s="173"/>
      <c r="DA713" s="198"/>
      <c r="DC713" s="197"/>
      <c r="DD713" s="180"/>
      <c r="DE713" s="180"/>
      <c r="DF713" s="180"/>
      <c r="DG713" s="180"/>
      <c r="DH713" s="180"/>
      <c r="DI713" s="180"/>
      <c r="DJ713" s="180"/>
      <c r="DK713" s="180"/>
      <c r="DL713" s="180"/>
      <c r="DM713" s="180"/>
      <c r="DN713" s="180"/>
      <c r="DO713" s="180"/>
      <c r="DP713" s="180"/>
      <c r="DQ713" s="173"/>
      <c r="DR713" s="173"/>
      <c r="DS713" s="173"/>
      <c r="DT713" s="173"/>
      <c r="DU713" s="173"/>
      <c r="DV713" s="198"/>
    </row>
    <row r="714" spans="85:126" x14ac:dyDescent="0.2">
      <c r="CG714" s="179"/>
      <c r="CH714" s="197"/>
      <c r="CI714" s="180"/>
      <c r="CJ714" s="180"/>
      <c r="CK714" s="180"/>
      <c r="CL714" s="180"/>
      <c r="CM714" s="180"/>
      <c r="CN714" s="180"/>
      <c r="CO714" s="180"/>
      <c r="CP714" s="180"/>
      <c r="CQ714" s="180"/>
      <c r="CR714" s="180"/>
      <c r="CS714" s="180"/>
      <c r="CT714" s="180"/>
      <c r="CU714" s="180"/>
      <c r="CV714" s="173"/>
      <c r="CW714" s="173"/>
      <c r="CX714" s="173"/>
      <c r="CY714" s="173"/>
      <c r="CZ714" s="173"/>
      <c r="DA714" s="198"/>
      <c r="DC714" s="197"/>
      <c r="DD714" s="180"/>
      <c r="DE714" s="180"/>
      <c r="DF714" s="180"/>
      <c r="DG714" s="180"/>
      <c r="DH714" s="180"/>
      <c r="DI714" s="180"/>
      <c r="DJ714" s="180"/>
      <c r="DK714" s="180"/>
      <c r="DL714" s="180"/>
      <c r="DM714" s="180"/>
      <c r="DN714" s="180"/>
      <c r="DO714" s="180"/>
      <c r="DP714" s="180"/>
      <c r="DQ714" s="173"/>
      <c r="DR714" s="173"/>
      <c r="DS714" s="173"/>
      <c r="DT714" s="173"/>
      <c r="DU714" s="173"/>
      <c r="DV714" s="198"/>
    </row>
    <row r="715" spans="85:126" x14ac:dyDescent="0.2">
      <c r="CG715" s="179"/>
      <c r="CH715" s="197"/>
      <c r="CI715" s="180"/>
      <c r="CJ715" s="180"/>
      <c r="CK715" s="180"/>
      <c r="CL715" s="180"/>
      <c r="CM715" s="180"/>
      <c r="CN715" s="180"/>
      <c r="CO715" s="180"/>
      <c r="CP715" s="180"/>
      <c r="CQ715" s="180"/>
      <c r="CR715" s="180"/>
      <c r="CS715" s="180"/>
      <c r="CT715" s="180"/>
      <c r="CU715" s="180"/>
      <c r="CV715" s="173"/>
      <c r="CW715" s="173"/>
      <c r="CX715" s="173"/>
      <c r="CY715" s="173"/>
      <c r="CZ715" s="173"/>
      <c r="DA715" s="198"/>
      <c r="DC715" s="197"/>
      <c r="DD715" s="180"/>
      <c r="DE715" s="180"/>
      <c r="DF715" s="180"/>
      <c r="DG715" s="180"/>
      <c r="DH715" s="180"/>
      <c r="DI715" s="180"/>
      <c r="DJ715" s="180"/>
      <c r="DK715" s="180"/>
      <c r="DL715" s="180"/>
      <c r="DM715" s="180"/>
      <c r="DN715" s="180"/>
      <c r="DO715" s="180"/>
      <c r="DP715" s="180"/>
      <c r="DQ715" s="173"/>
      <c r="DR715" s="173"/>
      <c r="DS715" s="173"/>
      <c r="DT715" s="173"/>
      <c r="DU715" s="173"/>
      <c r="DV715" s="198"/>
    </row>
    <row r="716" spans="85:126" x14ac:dyDescent="0.2">
      <c r="CG716" s="179"/>
      <c r="CH716" s="197"/>
      <c r="CI716" s="180"/>
      <c r="CJ716" s="180"/>
      <c r="CK716" s="180"/>
      <c r="CL716" s="180"/>
      <c r="CM716" s="180"/>
      <c r="CN716" s="180"/>
      <c r="CO716" s="180"/>
      <c r="CP716" s="180"/>
      <c r="CQ716" s="180"/>
      <c r="CR716" s="180"/>
      <c r="CS716" s="180"/>
      <c r="CT716" s="180"/>
      <c r="CU716" s="180"/>
      <c r="CV716" s="173"/>
      <c r="CW716" s="173"/>
      <c r="CX716" s="173"/>
      <c r="CY716" s="173"/>
      <c r="CZ716" s="173"/>
      <c r="DA716" s="198"/>
      <c r="DC716" s="197"/>
      <c r="DD716" s="180"/>
      <c r="DE716" s="180"/>
      <c r="DF716" s="180"/>
      <c r="DG716" s="180"/>
      <c r="DH716" s="180"/>
      <c r="DI716" s="180"/>
      <c r="DJ716" s="180"/>
      <c r="DK716" s="180"/>
      <c r="DL716" s="180"/>
      <c r="DM716" s="180"/>
      <c r="DN716" s="180"/>
      <c r="DO716" s="180"/>
      <c r="DP716" s="180"/>
      <c r="DQ716" s="173"/>
      <c r="DR716" s="173"/>
      <c r="DS716" s="173"/>
      <c r="DT716" s="173"/>
      <c r="DU716" s="173"/>
      <c r="DV716" s="198"/>
    </row>
    <row r="717" spans="85:126" x14ac:dyDescent="0.2">
      <c r="CG717" s="179"/>
      <c r="CH717" s="197"/>
      <c r="CI717" s="180"/>
      <c r="CJ717" s="180"/>
      <c r="CK717" s="180"/>
      <c r="CL717" s="180"/>
      <c r="CM717" s="180"/>
      <c r="CN717" s="180"/>
      <c r="CO717" s="180"/>
      <c r="CP717" s="180"/>
      <c r="CQ717" s="180"/>
      <c r="CR717" s="180"/>
      <c r="CS717" s="180"/>
      <c r="CT717" s="180"/>
      <c r="CU717" s="180"/>
      <c r="CV717" s="173"/>
      <c r="CW717" s="173"/>
      <c r="CX717" s="173"/>
      <c r="CY717" s="173"/>
      <c r="CZ717" s="173"/>
      <c r="DA717" s="198"/>
      <c r="DC717" s="197"/>
      <c r="DD717" s="180"/>
      <c r="DE717" s="180"/>
      <c r="DF717" s="180"/>
      <c r="DG717" s="180"/>
      <c r="DH717" s="180"/>
      <c r="DI717" s="180"/>
      <c r="DJ717" s="180"/>
      <c r="DK717" s="180"/>
      <c r="DL717" s="180"/>
      <c r="DM717" s="180"/>
      <c r="DN717" s="180"/>
      <c r="DO717" s="180"/>
      <c r="DP717" s="180"/>
      <c r="DQ717" s="173"/>
      <c r="DR717" s="173"/>
      <c r="DS717" s="173"/>
      <c r="DT717" s="173"/>
      <c r="DU717" s="173"/>
      <c r="DV717" s="198"/>
    </row>
    <row r="718" spans="85:126" x14ac:dyDescent="0.2">
      <c r="CG718" s="176"/>
      <c r="CH718" s="197"/>
      <c r="CI718" s="180"/>
      <c r="CJ718" s="180"/>
      <c r="CK718" s="180"/>
      <c r="CL718" s="180"/>
      <c r="CM718" s="180"/>
      <c r="CN718" s="180"/>
      <c r="CO718" s="180"/>
      <c r="CP718" s="180"/>
      <c r="CQ718" s="180"/>
      <c r="CR718" s="180"/>
      <c r="CS718" s="180"/>
      <c r="CT718" s="180"/>
      <c r="CU718" s="180"/>
      <c r="CV718" s="173"/>
      <c r="CW718" s="173"/>
      <c r="CX718" s="173"/>
      <c r="CY718" s="173"/>
      <c r="CZ718" s="173"/>
      <c r="DA718" s="198"/>
      <c r="DC718" s="197"/>
      <c r="DD718" s="180"/>
      <c r="DE718" s="180"/>
      <c r="DF718" s="180"/>
      <c r="DG718" s="180"/>
      <c r="DH718" s="180"/>
      <c r="DI718" s="180"/>
      <c r="DJ718" s="180"/>
      <c r="DK718" s="180"/>
      <c r="DL718" s="180"/>
      <c r="DM718" s="180"/>
      <c r="DN718" s="180"/>
      <c r="DO718" s="180"/>
      <c r="DP718" s="180"/>
      <c r="DQ718" s="173"/>
      <c r="DR718" s="173"/>
      <c r="DS718" s="173"/>
      <c r="DT718" s="173"/>
      <c r="DU718" s="173"/>
      <c r="DV718" s="198"/>
    </row>
    <row r="719" spans="85:126" x14ac:dyDescent="0.2">
      <c r="CG719" s="176"/>
      <c r="CH719" s="197"/>
      <c r="CI719" s="180"/>
      <c r="CJ719" s="180"/>
      <c r="CK719" s="180"/>
      <c r="CL719" s="180"/>
      <c r="CM719" s="180"/>
      <c r="CN719" s="180"/>
      <c r="CO719" s="180"/>
      <c r="CP719" s="180"/>
      <c r="CQ719" s="180"/>
      <c r="CR719" s="180"/>
      <c r="CS719" s="180"/>
      <c r="CT719" s="180"/>
      <c r="CU719" s="180"/>
      <c r="CV719" s="173"/>
      <c r="CW719" s="173"/>
      <c r="CX719" s="173"/>
      <c r="CY719" s="173"/>
      <c r="CZ719" s="173"/>
      <c r="DA719" s="198"/>
      <c r="DC719" s="197"/>
      <c r="DD719" s="180"/>
      <c r="DE719" s="180"/>
      <c r="DF719" s="180"/>
      <c r="DG719" s="180"/>
      <c r="DH719" s="180"/>
      <c r="DI719" s="180"/>
      <c r="DJ719" s="180"/>
      <c r="DK719" s="180"/>
      <c r="DL719" s="180"/>
      <c r="DM719" s="180"/>
      <c r="DN719" s="180"/>
      <c r="DO719" s="180"/>
      <c r="DP719" s="180"/>
      <c r="DQ719" s="173"/>
      <c r="DR719" s="173"/>
      <c r="DS719" s="173"/>
      <c r="DT719" s="173"/>
      <c r="DU719" s="173"/>
      <c r="DV719" s="198"/>
    </row>
    <row r="720" spans="85:126" x14ac:dyDescent="0.2">
      <c r="CG720" s="176"/>
      <c r="CH720" s="199"/>
      <c r="CI720" s="200"/>
      <c r="CJ720" s="200"/>
      <c r="CK720" s="200"/>
      <c r="CL720" s="200"/>
      <c r="CM720" s="200"/>
      <c r="CN720" s="200"/>
      <c r="CO720" s="200"/>
      <c r="CP720" s="200"/>
      <c r="CQ720" s="201"/>
      <c r="CR720" s="202"/>
      <c r="CS720" s="200"/>
      <c r="CT720" s="200"/>
      <c r="CU720" s="200"/>
      <c r="CV720" s="203"/>
      <c r="CW720" s="203"/>
      <c r="CX720" s="203"/>
      <c r="CY720" s="203"/>
      <c r="CZ720" s="203"/>
      <c r="DA720" s="204"/>
      <c r="DC720" s="199"/>
      <c r="DD720" s="200"/>
      <c r="DE720" s="200"/>
      <c r="DF720" s="200"/>
      <c r="DG720" s="200"/>
      <c r="DH720" s="200"/>
      <c r="DI720" s="200"/>
      <c r="DJ720" s="200"/>
      <c r="DK720" s="200"/>
      <c r="DL720" s="200"/>
      <c r="DM720" s="200"/>
      <c r="DN720" s="200"/>
      <c r="DO720" s="200"/>
      <c r="DP720" s="200"/>
      <c r="DQ720" s="203"/>
      <c r="DR720" s="203"/>
      <c r="DS720" s="203"/>
      <c r="DT720" s="203"/>
      <c r="DU720" s="203"/>
      <c r="DV720" s="204"/>
    </row>
    <row r="721" spans="85:126" x14ac:dyDescent="0.2">
      <c r="CG721" s="176">
        <v>37</v>
      </c>
      <c r="CH721" s="192"/>
      <c r="CI721" s="193"/>
      <c r="CJ721" s="193"/>
      <c r="CK721" s="193"/>
      <c r="CL721" s="193"/>
      <c r="CM721" s="193"/>
      <c r="CN721" s="193"/>
      <c r="CO721" s="193"/>
      <c r="CP721" s="193"/>
      <c r="CQ721" s="193"/>
      <c r="CR721" s="193"/>
      <c r="CS721" s="193"/>
      <c r="CT721" s="193"/>
      <c r="CU721" s="193"/>
      <c r="CV721" s="194"/>
      <c r="CW721" s="194"/>
      <c r="CX721" s="194"/>
      <c r="CY721" s="194"/>
      <c r="CZ721" s="194"/>
      <c r="DA721" s="195"/>
      <c r="DC721" s="192"/>
      <c r="DD721" s="193"/>
      <c r="DE721" s="193"/>
      <c r="DF721" s="193"/>
      <c r="DG721" s="193"/>
      <c r="DH721" s="193"/>
      <c r="DI721" s="193"/>
      <c r="DJ721" s="193"/>
      <c r="DK721" s="193"/>
      <c r="DL721" s="193"/>
      <c r="DM721" s="193"/>
      <c r="DN721" s="193"/>
      <c r="DO721" s="193"/>
      <c r="DP721" s="193"/>
      <c r="DQ721" s="194"/>
      <c r="DR721" s="194"/>
      <c r="DS721" s="194"/>
      <c r="DT721" s="194"/>
      <c r="DU721" s="194"/>
      <c r="DV721" s="195"/>
    </row>
    <row r="722" spans="85:126" x14ac:dyDescent="0.2">
      <c r="CG722" s="176"/>
      <c r="CH722" s="169"/>
      <c r="CI722" s="177"/>
      <c r="CJ722" s="177"/>
      <c r="CK722" s="177"/>
      <c r="CL722" s="177"/>
      <c r="CM722" s="177"/>
      <c r="CN722" s="177"/>
      <c r="CO722" s="177"/>
      <c r="CP722" s="177"/>
      <c r="CQ722" s="177"/>
      <c r="CR722" s="177"/>
      <c r="CS722" s="177"/>
      <c r="CT722" s="177"/>
      <c r="CU722" s="177"/>
      <c r="CV722" s="172"/>
      <c r="CW722" s="172"/>
      <c r="CX722" s="172"/>
      <c r="CY722" s="172"/>
      <c r="CZ722" s="172"/>
      <c r="DA722" s="196"/>
      <c r="DC722" s="169"/>
      <c r="DD722" s="177"/>
      <c r="DE722" s="177"/>
      <c r="DF722" s="177"/>
      <c r="DG722" s="177"/>
      <c r="DH722" s="177"/>
      <c r="DI722" s="177"/>
      <c r="DJ722" s="177"/>
      <c r="DK722" s="177"/>
      <c r="DL722" s="177"/>
      <c r="DM722" s="177"/>
      <c r="DN722" s="177"/>
      <c r="DO722" s="177"/>
      <c r="DP722" s="177"/>
      <c r="DQ722" s="172"/>
      <c r="DR722" s="172"/>
      <c r="DS722" s="172"/>
      <c r="DT722" s="172"/>
      <c r="DU722" s="172"/>
      <c r="DV722" s="196"/>
    </row>
    <row r="723" spans="85:126" x14ac:dyDescent="0.2">
      <c r="CG723" s="131"/>
      <c r="CH723" s="169"/>
      <c r="CI723" s="177"/>
      <c r="CJ723" s="177"/>
      <c r="CK723" s="177"/>
      <c r="CL723" s="177"/>
      <c r="CM723" s="177"/>
      <c r="CN723" s="177"/>
      <c r="CO723" s="177"/>
      <c r="CP723" s="177"/>
      <c r="CQ723" s="177"/>
      <c r="CR723" s="177"/>
      <c r="CS723" s="177"/>
      <c r="CT723" s="177"/>
      <c r="CU723" s="177"/>
      <c r="CV723" s="172"/>
      <c r="CW723" s="172"/>
      <c r="CX723" s="172"/>
      <c r="CY723" s="172"/>
      <c r="CZ723" s="172"/>
      <c r="DA723" s="196"/>
      <c r="DC723" s="169"/>
      <c r="DD723" s="177"/>
      <c r="DE723" s="177"/>
      <c r="DF723" s="177"/>
      <c r="DG723" s="177"/>
      <c r="DH723" s="177"/>
      <c r="DI723" s="177"/>
      <c r="DJ723" s="177"/>
      <c r="DK723" s="177"/>
      <c r="DL723" s="177"/>
      <c r="DM723" s="177"/>
      <c r="DN723" s="177"/>
      <c r="DO723" s="177"/>
      <c r="DP723" s="177"/>
      <c r="DQ723" s="172"/>
      <c r="DR723" s="172"/>
      <c r="DS723" s="172"/>
      <c r="DT723" s="172"/>
      <c r="DU723" s="172"/>
      <c r="DV723" s="196"/>
    </row>
    <row r="724" spans="85:126" x14ac:dyDescent="0.2">
      <c r="CG724" s="176"/>
      <c r="CH724" s="169"/>
      <c r="CI724" s="177"/>
      <c r="CJ724" s="177"/>
      <c r="CK724" s="177"/>
      <c r="CL724" s="177"/>
      <c r="CM724" s="177"/>
      <c r="CN724" s="177"/>
      <c r="CO724" s="177"/>
      <c r="CP724" s="177"/>
      <c r="CQ724" s="177"/>
      <c r="CR724" s="177"/>
      <c r="CS724" s="177"/>
      <c r="CT724" s="177"/>
      <c r="CU724" s="177"/>
      <c r="CV724" s="172"/>
      <c r="CW724" s="172"/>
      <c r="CX724" s="172"/>
      <c r="CY724" s="172"/>
      <c r="CZ724" s="172"/>
      <c r="DA724" s="196"/>
      <c r="DC724" s="169"/>
      <c r="DD724" s="177"/>
      <c r="DE724" s="177"/>
      <c r="DF724" s="177"/>
      <c r="DG724" s="177"/>
      <c r="DH724" s="177"/>
      <c r="DI724" s="177"/>
      <c r="DJ724" s="177"/>
      <c r="DK724" s="177"/>
      <c r="DL724" s="177"/>
      <c r="DM724" s="177"/>
      <c r="DN724" s="177"/>
      <c r="DO724" s="177"/>
      <c r="DP724" s="177"/>
      <c r="DQ724" s="172"/>
      <c r="DR724" s="172"/>
      <c r="DS724" s="172"/>
      <c r="DT724" s="172"/>
      <c r="DU724" s="172"/>
      <c r="DV724" s="196"/>
    </row>
    <row r="725" spans="85:126" x14ac:dyDescent="0.2">
      <c r="CG725" s="178"/>
      <c r="CH725" s="169"/>
      <c r="CI725" s="177"/>
      <c r="CJ725" s="177"/>
      <c r="CK725" s="177"/>
      <c r="CL725" s="177"/>
      <c r="CM725" s="177"/>
      <c r="CN725" s="177"/>
      <c r="CO725" s="177"/>
      <c r="CP725" s="177"/>
      <c r="CQ725" s="177"/>
      <c r="CR725" s="177"/>
      <c r="CS725" s="177"/>
      <c r="CT725" s="177"/>
      <c r="CU725" s="177"/>
      <c r="CV725" s="172"/>
      <c r="CW725" s="172"/>
      <c r="CX725" s="172"/>
      <c r="CY725" s="172"/>
      <c r="CZ725" s="172"/>
      <c r="DA725" s="196"/>
      <c r="DC725" s="169"/>
      <c r="DD725" s="177"/>
      <c r="DE725" s="177"/>
      <c r="DF725" s="177"/>
      <c r="DG725" s="177"/>
      <c r="DH725" s="177"/>
      <c r="DI725" s="177"/>
      <c r="DJ725" s="177"/>
      <c r="DK725" s="177"/>
      <c r="DL725" s="177"/>
      <c r="DM725" s="177"/>
      <c r="DN725" s="177"/>
      <c r="DO725" s="177"/>
      <c r="DP725" s="177"/>
      <c r="DQ725" s="172"/>
      <c r="DR725" s="172"/>
      <c r="DS725" s="172"/>
      <c r="DT725" s="172"/>
      <c r="DU725" s="172"/>
      <c r="DV725" s="196"/>
    </row>
    <row r="726" spans="85:126" x14ac:dyDescent="0.2">
      <c r="CG726" s="179"/>
      <c r="CH726" s="169"/>
      <c r="CI726" s="177"/>
      <c r="CJ726" s="177"/>
      <c r="CK726" s="177"/>
      <c r="CL726" s="177"/>
      <c r="CM726" s="177"/>
      <c r="CN726" s="177"/>
      <c r="CO726" s="177"/>
      <c r="CP726" s="177"/>
      <c r="CQ726" s="177"/>
      <c r="CR726" s="177"/>
      <c r="CS726" s="177"/>
      <c r="CT726" s="177"/>
      <c r="CU726" s="177"/>
      <c r="CV726" s="172"/>
      <c r="CW726" s="172"/>
      <c r="CX726" s="172"/>
      <c r="CY726" s="172"/>
      <c r="CZ726" s="172"/>
      <c r="DA726" s="196"/>
      <c r="DC726" s="169"/>
      <c r="DD726" s="177"/>
      <c r="DE726" s="177"/>
      <c r="DF726" s="177"/>
      <c r="DG726" s="177"/>
      <c r="DH726" s="177"/>
      <c r="DI726" s="177"/>
      <c r="DJ726" s="177"/>
      <c r="DK726" s="177"/>
      <c r="DL726" s="177"/>
      <c r="DM726" s="177"/>
      <c r="DN726" s="177"/>
      <c r="DO726" s="177"/>
      <c r="DP726" s="177"/>
      <c r="DQ726" s="172"/>
      <c r="DR726" s="172"/>
      <c r="DS726" s="172"/>
      <c r="DT726" s="172"/>
      <c r="DU726" s="172"/>
      <c r="DV726" s="196"/>
    </row>
    <row r="727" spans="85:126" x14ac:dyDescent="0.2">
      <c r="CG727" s="179"/>
      <c r="CH727" s="169"/>
      <c r="CI727" s="177"/>
      <c r="CJ727" s="177"/>
      <c r="CK727" s="177"/>
      <c r="CL727" s="177"/>
      <c r="CM727" s="177"/>
      <c r="CN727" s="177"/>
      <c r="CO727" s="177"/>
      <c r="CP727" s="177"/>
      <c r="CQ727" s="177"/>
      <c r="CR727" s="177"/>
      <c r="CS727" s="177"/>
      <c r="CT727" s="177"/>
      <c r="CU727" s="177"/>
      <c r="CV727" s="172"/>
      <c r="CW727" s="172"/>
      <c r="CX727" s="172"/>
      <c r="CY727" s="172"/>
      <c r="CZ727" s="172"/>
      <c r="DA727" s="196"/>
      <c r="DC727" s="169"/>
      <c r="DD727" s="177"/>
      <c r="DE727" s="177"/>
      <c r="DF727" s="177"/>
      <c r="DG727" s="177"/>
      <c r="DH727" s="177"/>
      <c r="DI727" s="177"/>
      <c r="DJ727" s="177"/>
      <c r="DK727" s="177"/>
      <c r="DL727" s="177"/>
      <c r="DM727" s="177"/>
      <c r="DN727" s="177"/>
      <c r="DO727" s="177"/>
      <c r="DP727" s="177"/>
      <c r="DQ727" s="172"/>
      <c r="DR727" s="172"/>
      <c r="DS727" s="172"/>
      <c r="DT727" s="172"/>
      <c r="DU727" s="172"/>
      <c r="DV727" s="196"/>
    </row>
    <row r="728" spans="85:126" x14ac:dyDescent="0.2">
      <c r="CG728" s="179"/>
      <c r="CH728" s="169"/>
      <c r="CI728" s="177"/>
      <c r="CJ728" s="177"/>
      <c r="CK728" s="177"/>
      <c r="CL728" s="177"/>
      <c r="CM728" s="177"/>
      <c r="CN728" s="177"/>
      <c r="CO728" s="177"/>
      <c r="CP728" s="177"/>
      <c r="CQ728" s="177"/>
      <c r="CR728" s="177"/>
      <c r="CS728" s="177"/>
      <c r="CT728" s="177"/>
      <c r="CU728" s="177"/>
      <c r="CV728" s="172"/>
      <c r="CW728" s="172"/>
      <c r="CX728" s="172"/>
      <c r="CY728" s="172"/>
      <c r="CZ728" s="172"/>
      <c r="DA728" s="196"/>
      <c r="DC728" s="169"/>
      <c r="DD728" s="177"/>
      <c r="DE728" s="177"/>
      <c r="DF728" s="177"/>
      <c r="DG728" s="177"/>
      <c r="DH728" s="177"/>
      <c r="DI728" s="177"/>
      <c r="DJ728" s="177"/>
      <c r="DK728" s="177"/>
      <c r="DL728" s="177"/>
      <c r="DM728" s="177"/>
      <c r="DN728" s="177"/>
      <c r="DO728" s="177"/>
      <c r="DP728" s="177"/>
      <c r="DQ728" s="172"/>
      <c r="DR728" s="172"/>
      <c r="DS728" s="172"/>
      <c r="DT728" s="172"/>
      <c r="DU728" s="172"/>
      <c r="DV728" s="196"/>
    </row>
    <row r="729" spans="85:126" x14ac:dyDescent="0.2">
      <c r="CG729" s="179"/>
      <c r="CH729" s="169"/>
      <c r="CI729" s="177"/>
      <c r="CJ729" s="177"/>
      <c r="CK729" s="177"/>
      <c r="CL729" s="177"/>
      <c r="CM729" s="177"/>
      <c r="CN729" s="177"/>
      <c r="CO729" s="177"/>
      <c r="CP729" s="177"/>
      <c r="CQ729" s="177"/>
      <c r="CR729" s="177"/>
      <c r="CS729" s="177"/>
      <c r="CT729" s="177"/>
      <c r="CU729" s="177"/>
      <c r="CV729" s="172"/>
      <c r="CW729" s="172"/>
      <c r="CX729" s="172"/>
      <c r="CY729" s="172"/>
      <c r="CZ729" s="172"/>
      <c r="DA729" s="196"/>
      <c r="DC729" s="169"/>
      <c r="DD729" s="177"/>
      <c r="DE729" s="177"/>
      <c r="DF729" s="177"/>
      <c r="DG729" s="177"/>
      <c r="DH729" s="177"/>
      <c r="DI729" s="177"/>
      <c r="DJ729" s="177"/>
      <c r="DK729" s="177"/>
      <c r="DL729" s="177"/>
      <c r="DM729" s="177"/>
      <c r="DN729" s="177"/>
      <c r="DO729" s="177"/>
      <c r="DP729" s="177"/>
      <c r="DQ729" s="172"/>
      <c r="DR729" s="172"/>
      <c r="DS729" s="172"/>
      <c r="DT729" s="172"/>
      <c r="DU729" s="172"/>
      <c r="DV729" s="196"/>
    </row>
    <row r="730" spans="85:126" x14ac:dyDescent="0.2">
      <c r="CG730" s="179"/>
      <c r="CH730" s="169"/>
      <c r="CI730" s="177"/>
      <c r="CJ730" s="177"/>
      <c r="CK730" s="177"/>
      <c r="CL730" s="177"/>
      <c r="CM730" s="177"/>
      <c r="CN730" s="177"/>
      <c r="CO730" s="177"/>
      <c r="CP730" s="177"/>
      <c r="CQ730" s="177"/>
      <c r="CR730" s="177"/>
      <c r="CS730" s="177"/>
      <c r="CT730" s="177"/>
      <c r="CU730" s="177"/>
      <c r="CV730" s="172"/>
      <c r="CW730" s="172"/>
      <c r="CX730" s="172"/>
      <c r="CY730" s="172"/>
      <c r="CZ730" s="172"/>
      <c r="DA730" s="196"/>
      <c r="DC730" s="169"/>
      <c r="DD730" s="177"/>
      <c r="DE730" s="177"/>
      <c r="DF730" s="177"/>
      <c r="DG730" s="177"/>
      <c r="DH730" s="177"/>
      <c r="DI730" s="177"/>
      <c r="DJ730" s="177"/>
      <c r="DK730" s="177"/>
      <c r="DL730" s="177"/>
      <c r="DM730" s="177"/>
      <c r="DN730" s="177"/>
      <c r="DO730" s="177"/>
      <c r="DP730" s="177"/>
      <c r="DQ730" s="172"/>
      <c r="DR730" s="172"/>
      <c r="DS730" s="172"/>
      <c r="DT730" s="172"/>
      <c r="DU730" s="172"/>
      <c r="DV730" s="196"/>
    </row>
    <row r="731" spans="85:126" x14ac:dyDescent="0.2">
      <c r="CG731" s="179"/>
      <c r="CH731" s="169"/>
      <c r="CI731" s="177"/>
      <c r="CJ731" s="177"/>
      <c r="CK731" s="177"/>
      <c r="CL731" s="177"/>
      <c r="CM731" s="177"/>
      <c r="CN731" s="177"/>
      <c r="CO731" s="177"/>
      <c r="CP731" s="177"/>
      <c r="CQ731" s="177"/>
      <c r="CR731" s="177"/>
      <c r="CS731" s="177"/>
      <c r="CT731" s="177"/>
      <c r="CU731" s="177"/>
      <c r="CV731" s="172"/>
      <c r="CW731" s="172"/>
      <c r="CX731" s="172"/>
      <c r="CY731" s="172"/>
      <c r="CZ731" s="172"/>
      <c r="DA731" s="196"/>
      <c r="DC731" s="169"/>
      <c r="DD731" s="177"/>
      <c r="DE731" s="177"/>
      <c r="DF731" s="177"/>
      <c r="DG731" s="177"/>
      <c r="DH731" s="177"/>
      <c r="DI731" s="177"/>
      <c r="DJ731" s="177"/>
      <c r="DK731" s="177"/>
      <c r="DL731" s="177"/>
      <c r="DM731" s="177"/>
      <c r="DN731" s="177"/>
      <c r="DO731" s="177"/>
      <c r="DP731" s="177"/>
      <c r="DQ731" s="172"/>
      <c r="DR731" s="172"/>
      <c r="DS731" s="172"/>
      <c r="DT731" s="172"/>
      <c r="DU731" s="172"/>
      <c r="DV731" s="196"/>
    </row>
    <row r="732" spans="85:126" x14ac:dyDescent="0.2">
      <c r="CG732" s="179"/>
      <c r="CH732" s="169"/>
      <c r="CI732" s="177"/>
      <c r="CJ732" s="177"/>
      <c r="CK732" s="177"/>
      <c r="CL732" s="177"/>
      <c r="CM732" s="177"/>
      <c r="CN732" s="177"/>
      <c r="CO732" s="177"/>
      <c r="CP732" s="177"/>
      <c r="CQ732" s="177"/>
      <c r="CR732" s="177"/>
      <c r="CS732" s="177"/>
      <c r="CT732" s="177"/>
      <c r="CU732" s="177"/>
      <c r="CV732" s="172"/>
      <c r="CW732" s="172"/>
      <c r="CX732" s="172"/>
      <c r="CY732" s="172"/>
      <c r="CZ732" s="172"/>
      <c r="DA732" s="196"/>
      <c r="DC732" s="169"/>
      <c r="DD732" s="177"/>
      <c r="DE732" s="177"/>
      <c r="DF732" s="177"/>
      <c r="DG732" s="177"/>
      <c r="DH732" s="177"/>
      <c r="DI732" s="177"/>
      <c r="DJ732" s="177"/>
      <c r="DK732" s="177"/>
      <c r="DL732" s="177"/>
      <c r="DM732" s="177"/>
      <c r="DN732" s="177"/>
      <c r="DO732" s="177"/>
      <c r="DP732" s="177"/>
      <c r="DQ732" s="172"/>
      <c r="DR732" s="172"/>
      <c r="DS732" s="172"/>
      <c r="DT732" s="172"/>
      <c r="DU732" s="172"/>
      <c r="DV732" s="196"/>
    </row>
    <row r="733" spans="85:126" x14ac:dyDescent="0.2">
      <c r="CG733" s="179"/>
      <c r="CH733" s="197"/>
      <c r="CI733" s="180"/>
      <c r="CJ733" s="180"/>
      <c r="CK733" s="180"/>
      <c r="CL733" s="180"/>
      <c r="CM733" s="180"/>
      <c r="CN733" s="180"/>
      <c r="CO733" s="180"/>
      <c r="CP733" s="180"/>
      <c r="CQ733" s="180"/>
      <c r="CR733" s="180"/>
      <c r="CS733" s="180"/>
      <c r="CT733" s="180"/>
      <c r="CU733" s="180"/>
      <c r="CV733" s="173"/>
      <c r="CW733" s="173"/>
      <c r="CX733" s="173"/>
      <c r="CY733" s="173"/>
      <c r="CZ733" s="173"/>
      <c r="DA733" s="198"/>
      <c r="DC733" s="197"/>
      <c r="DD733" s="180"/>
      <c r="DE733" s="180"/>
      <c r="DF733" s="180"/>
      <c r="DG733" s="180"/>
      <c r="DH733" s="180"/>
      <c r="DI733" s="180"/>
      <c r="DJ733" s="180"/>
      <c r="DK733" s="180"/>
      <c r="DL733" s="180"/>
      <c r="DM733" s="180"/>
      <c r="DN733" s="180"/>
      <c r="DO733" s="180"/>
      <c r="DP733" s="180"/>
      <c r="DQ733" s="173"/>
      <c r="DR733" s="173"/>
      <c r="DS733" s="173"/>
      <c r="DT733" s="173"/>
      <c r="DU733" s="173"/>
      <c r="DV733" s="198"/>
    </row>
    <row r="734" spans="85:126" x14ac:dyDescent="0.2">
      <c r="CG734" s="179"/>
      <c r="CH734" s="197"/>
      <c r="CI734" s="180"/>
      <c r="CJ734" s="180"/>
      <c r="CK734" s="180"/>
      <c r="CL734" s="180"/>
      <c r="CM734" s="180"/>
      <c r="CN734" s="180"/>
      <c r="CO734" s="180"/>
      <c r="CP734" s="180"/>
      <c r="CQ734" s="180"/>
      <c r="CR734" s="180"/>
      <c r="CS734" s="180"/>
      <c r="CT734" s="180"/>
      <c r="CU734" s="180"/>
      <c r="CV734" s="173"/>
      <c r="CW734" s="173"/>
      <c r="CX734" s="173"/>
      <c r="CY734" s="173"/>
      <c r="CZ734" s="173"/>
      <c r="DA734" s="198"/>
      <c r="DC734" s="197"/>
      <c r="DD734" s="180"/>
      <c r="DE734" s="180"/>
      <c r="DF734" s="180"/>
      <c r="DG734" s="180"/>
      <c r="DH734" s="180"/>
      <c r="DI734" s="180"/>
      <c r="DJ734" s="180"/>
      <c r="DK734" s="180"/>
      <c r="DL734" s="180"/>
      <c r="DM734" s="180"/>
      <c r="DN734" s="180"/>
      <c r="DO734" s="180"/>
      <c r="DP734" s="180"/>
      <c r="DQ734" s="173"/>
      <c r="DR734" s="173"/>
      <c r="DS734" s="173"/>
      <c r="DT734" s="173"/>
      <c r="DU734" s="173"/>
      <c r="DV734" s="198"/>
    </row>
    <row r="735" spans="85:126" x14ac:dyDescent="0.2">
      <c r="CG735" s="179"/>
      <c r="CH735" s="197"/>
      <c r="CI735" s="180"/>
      <c r="CJ735" s="180"/>
      <c r="CK735" s="180"/>
      <c r="CL735" s="180"/>
      <c r="CM735" s="180"/>
      <c r="CN735" s="180"/>
      <c r="CO735" s="180"/>
      <c r="CP735" s="180"/>
      <c r="CQ735" s="180"/>
      <c r="CR735" s="180"/>
      <c r="CS735" s="180"/>
      <c r="CT735" s="180"/>
      <c r="CU735" s="180"/>
      <c r="CV735" s="173"/>
      <c r="CW735" s="173"/>
      <c r="CX735" s="173"/>
      <c r="CY735" s="173"/>
      <c r="CZ735" s="173"/>
      <c r="DA735" s="198"/>
      <c r="DC735" s="197"/>
      <c r="DD735" s="180"/>
      <c r="DE735" s="180"/>
      <c r="DF735" s="180"/>
      <c r="DG735" s="180"/>
      <c r="DH735" s="180"/>
      <c r="DI735" s="180"/>
      <c r="DJ735" s="180"/>
      <c r="DK735" s="180"/>
      <c r="DL735" s="180"/>
      <c r="DM735" s="180"/>
      <c r="DN735" s="180"/>
      <c r="DO735" s="180"/>
      <c r="DP735" s="180"/>
      <c r="DQ735" s="173"/>
      <c r="DR735" s="173"/>
      <c r="DS735" s="173"/>
      <c r="DT735" s="173"/>
      <c r="DU735" s="173"/>
      <c r="DV735" s="198"/>
    </row>
    <row r="736" spans="85:126" x14ac:dyDescent="0.2">
      <c r="CG736" s="179"/>
      <c r="CH736" s="197"/>
      <c r="CI736" s="180"/>
      <c r="CJ736" s="180"/>
      <c r="CK736" s="180"/>
      <c r="CL736" s="180"/>
      <c r="CM736" s="180"/>
      <c r="CN736" s="180"/>
      <c r="CO736" s="180"/>
      <c r="CP736" s="180"/>
      <c r="CQ736" s="180"/>
      <c r="CR736" s="180"/>
      <c r="CS736" s="180"/>
      <c r="CT736" s="180"/>
      <c r="CU736" s="180"/>
      <c r="CV736" s="173"/>
      <c r="CW736" s="173"/>
      <c r="CX736" s="173"/>
      <c r="CY736" s="173"/>
      <c r="CZ736" s="173"/>
      <c r="DA736" s="198"/>
      <c r="DC736" s="197"/>
      <c r="DD736" s="180"/>
      <c r="DE736" s="180"/>
      <c r="DF736" s="180"/>
      <c r="DG736" s="180"/>
      <c r="DH736" s="180"/>
      <c r="DI736" s="180"/>
      <c r="DJ736" s="180"/>
      <c r="DK736" s="180"/>
      <c r="DL736" s="180"/>
      <c r="DM736" s="180"/>
      <c r="DN736" s="180"/>
      <c r="DO736" s="180"/>
      <c r="DP736" s="180"/>
      <c r="DQ736" s="173"/>
      <c r="DR736" s="173"/>
      <c r="DS736" s="173"/>
      <c r="DT736" s="173"/>
      <c r="DU736" s="173"/>
      <c r="DV736" s="198"/>
    </row>
    <row r="737" spans="85:126" x14ac:dyDescent="0.2">
      <c r="CG737" s="179"/>
      <c r="CH737" s="197"/>
      <c r="CI737" s="180"/>
      <c r="CJ737" s="180"/>
      <c r="CK737" s="180"/>
      <c r="CL737" s="180"/>
      <c r="CM737" s="180"/>
      <c r="CN737" s="180"/>
      <c r="CO737" s="180"/>
      <c r="CP737" s="180"/>
      <c r="CQ737" s="180"/>
      <c r="CR737" s="180"/>
      <c r="CS737" s="180"/>
      <c r="CT737" s="180"/>
      <c r="CU737" s="180"/>
      <c r="CV737" s="173"/>
      <c r="CW737" s="173"/>
      <c r="CX737" s="173"/>
      <c r="CY737" s="173"/>
      <c r="CZ737" s="173"/>
      <c r="DA737" s="198"/>
      <c r="DC737" s="197"/>
      <c r="DD737" s="180"/>
      <c r="DE737" s="180"/>
      <c r="DF737" s="180"/>
      <c r="DG737" s="180"/>
      <c r="DH737" s="180"/>
      <c r="DI737" s="180"/>
      <c r="DJ737" s="180"/>
      <c r="DK737" s="180"/>
      <c r="DL737" s="180"/>
      <c r="DM737" s="180"/>
      <c r="DN737" s="180"/>
      <c r="DO737" s="180"/>
      <c r="DP737" s="180"/>
      <c r="DQ737" s="173"/>
      <c r="DR737" s="173"/>
      <c r="DS737" s="173"/>
      <c r="DT737" s="173"/>
      <c r="DU737" s="173"/>
      <c r="DV737" s="198"/>
    </row>
    <row r="738" spans="85:126" x14ac:dyDescent="0.2">
      <c r="CG738" s="176"/>
      <c r="CH738" s="197"/>
      <c r="CI738" s="180"/>
      <c r="CJ738" s="180"/>
      <c r="CK738" s="180"/>
      <c r="CL738" s="180"/>
      <c r="CM738" s="180"/>
      <c r="CN738" s="180"/>
      <c r="CO738" s="180"/>
      <c r="CP738" s="180"/>
      <c r="CQ738" s="180"/>
      <c r="CR738" s="180"/>
      <c r="CS738" s="180"/>
      <c r="CT738" s="180"/>
      <c r="CU738" s="180"/>
      <c r="CV738" s="173"/>
      <c r="CW738" s="173"/>
      <c r="CX738" s="173"/>
      <c r="CY738" s="173"/>
      <c r="CZ738" s="173"/>
      <c r="DA738" s="198"/>
      <c r="DC738" s="197"/>
      <c r="DD738" s="180"/>
      <c r="DE738" s="180"/>
      <c r="DF738" s="180"/>
      <c r="DG738" s="180"/>
      <c r="DH738" s="180"/>
      <c r="DI738" s="180"/>
      <c r="DJ738" s="180"/>
      <c r="DK738" s="180"/>
      <c r="DL738" s="180"/>
      <c r="DM738" s="180"/>
      <c r="DN738" s="180"/>
      <c r="DO738" s="180"/>
      <c r="DP738" s="180"/>
      <c r="DQ738" s="173"/>
      <c r="DR738" s="173"/>
      <c r="DS738" s="173"/>
      <c r="DT738" s="173"/>
      <c r="DU738" s="173"/>
      <c r="DV738" s="198"/>
    </row>
    <row r="739" spans="85:126" x14ac:dyDescent="0.2">
      <c r="CG739" s="176"/>
      <c r="CH739" s="197"/>
      <c r="CI739" s="180"/>
      <c r="CJ739" s="180"/>
      <c r="CK739" s="180"/>
      <c r="CL739" s="180"/>
      <c r="CM739" s="180"/>
      <c r="CN739" s="180"/>
      <c r="CO739" s="180"/>
      <c r="CP739" s="180"/>
      <c r="CQ739" s="180"/>
      <c r="CR739" s="180"/>
      <c r="CS739" s="180"/>
      <c r="CT739" s="180"/>
      <c r="CU739" s="180"/>
      <c r="CV739" s="173"/>
      <c r="CW739" s="173"/>
      <c r="CX739" s="173"/>
      <c r="CY739" s="173"/>
      <c r="CZ739" s="173"/>
      <c r="DA739" s="198"/>
      <c r="DC739" s="197"/>
      <c r="DD739" s="180"/>
      <c r="DE739" s="180"/>
      <c r="DF739" s="180"/>
      <c r="DG739" s="180"/>
      <c r="DH739" s="180"/>
      <c r="DI739" s="180"/>
      <c r="DJ739" s="180"/>
      <c r="DK739" s="180"/>
      <c r="DL739" s="180"/>
      <c r="DM739" s="180"/>
      <c r="DN739" s="180"/>
      <c r="DO739" s="180"/>
      <c r="DP739" s="180"/>
      <c r="DQ739" s="173"/>
      <c r="DR739" s="173"/>
      <c r="DS739" s="173"/>
      <c r="DT739" s="173"/>
      <c r="DU739" s="173"/>
      <c r="DV739" s="198"/>
    </row>
    <row r="740" spans="85:126" x14ac:dyDescent="0.2">
      <c r="CG740" s="176"/>
      <c r="CH740" s="199"/>
      <c r="CI740" s="200"/>
      <c r="CJ740" s="200"/>
      <c r="CK740" s="200"/>
      <c r="CL740" s="200"/>
      <c r="CM740" s="200"/>
      <c r="CN740" s="200"/>
      <c r="CO740" s="200"/>
      <c r="CP740" s="200"/>
      <c r="CQ740" s="201"/>
      <c r="CR740" s="202"/>
      <c r="CS740" s="200"/>
      <c r="CT740" s="200"/>
      <c r="CU740" s="200"/>
      <c r="CV740" s="203"/>
      <c r="CW740" s="203"/>
      <c r="CX740" s="203"/>
      <c r="CY740" s="203"/>
      <c r="CZ740" s="203"/>
      <c r="DA740" s="204"/>
      <c r="DC740" s="199"/>
      <c r="DD740" s="200"/>
      <c r="DE740" s="200"/>
      <c r="DF740" s="200"/>
      <c r="DG740" s="200"/>
      <c r="DH740" s="200"/>
      <c r="DI740" s="200"/>
      <c r="DJ740" s="200"/>
      <c r="DK740" s="200"/>
      <c r="DL740" s="200"/>
      <c r="DM740" s="200"/>
      <c r="DN740" s="200"/>
      <c r="DO740" s="200"/>
      <c r="DP740" s="200"/>
      <c r="DQ740" s="203"/>
      <c r="DR740" s="203"/>
      <c r="DS740" s="203"/>
      <c r="DT740" s="203"/>
      <c r="DU740" s="203"/>
      <c r="DV740" s="204"/>
    </row>
    <row r="741" spans="85:126" x14ac:dyDescent="0.2">
      <c r="CG741" s="176">
        <v>38</v>
      </c>
      <c r="CH741" s="192"/>
      <c r="CI741" s="193"/>
      <c r="CJ741" s="193"/>
      <c r="CK741" s="193"/>
      <c r="CL741" s="193"/>
      <c r="CM741" s="193"/>
      <c r="CN741" s="193"/>
      <c r="CO741" s="193"/>
      <c r="CP741" s="193"/>
      <c r="CQ741" s="193"/>
      <c r="CR741" s="193"/>
      <c r="CS741" s="193"/>
      <c r="CT741" s="193"/>
      <c r="CU741" s="193"/>
      <c r="CV741" s="194"/>
      <c r="CW741" s="194"/>
      <c r="CX741" s="194"/>
      <c r="CY741" s="194"/>
      <c r="CZ741" s="194"/>
      <c r="DA741" s="195"/>
      <c r="DC741" s="192"/>
      <c r="DD741" s="193"/>
      <c r="DE741" s="193"/>
      <c r="DF741" s="193"/>
      <c r="DG741" s="193"/>
      <c r="DH741" s="193"/>
      <c r="DI741" s="193"/>
      <c r="DJ741" s="193"/>
      <c r="DK741" s="193"/>
      <c r="DL741" s="193"/>
      <c r="DM741" s="193"/>
      <c r="DN741" s="193"/>
      <c r="DO741" s="193"/>
      <c r="DP741" s="193"/>
      <c r="DQ741" s="194"/>
      <c r="DR741" s="194"/>
      <c r="DS741" s="194"/>
      <c r="DT741" s="194"/>
      <c r="DU741" s="194"/>
      <c r="DV741" s="195"/>
    </row>
    <row r="742" spans="85:126" x14ac:dyDescent="0.2">
      <c r="CG742" s="176"/>
      <c r="CH742" s="169"/>
      <c r="CI742" s="177"/>
      <c r="CJ742" s="177"/>
      <c r="CK742" s="177"/>
      <c r="CL742" s="177"/>
      <c r="CM742" s="177"/>
      <c r="CN742" s="177"/>
      <c r="CO742" s="177"/>
      <c r="CP742" s="177"/>
      <c r="CQ742" s="177"/>
      <c r="CR742" s="177"/>
      <c r="CS742" s="177"/>
      <c r="CT742" s="177"/>
      <c r="CU742" s="177"/>
      <c r="CV742" s="172"/>
      <c r="CW742" s="172"/>
      <c r="CX742" s="172"/>
      <c r="CY742" s="172"/>
      <c r="CZ742" s="172"/>
      <c r="DA742" s="196"/>
      <c r="DC742" s="169"/>
      <c r="DD742" s="177"/>
      <c r="DE742" s="177"/>
      <c r="DF742" s="177"/>
      <c r="DG742" s="177"/>
      <c r="DH742" s="177"/>
      <c r="DI742" s="177"/>
      <c r="DJ742" s="177"/>
      <c r="DK742" s="177"/>
      <c r="DL742" s="177"/>
      <c r="DM742" s="177"/>
      <c r="DN742" s="177"/>
      <c r="DO742" s="177"/>
      <c r="DP742" s="177"/>
      <c r="DQ742" s="172"/>
      <c r="DR742" s="172"/>
      <c r="DS742" s="172"/>
      <c r="DT742" s="172"/>
      <c r="DU742" s="172"/>
      <c r="DV742" s="196"/>
    </row>
    <row r="743" spans="85:126" x14ac:dyDescent="0.2">
      <c r="CG743" s="131"/>
      <c r="CH743" s="169"/>
      <c r="CI743" s="177"/>
      <c r="CJ743" s="177"/>
      <c r="CK743" s="177"/>
      <c r="CL743" s="177"/>
      <c r="CM743" s="177"/>
      <c r="CN743" s="177"/>
      <c r="CO743" s="177"/>
      <c r="CP743" s="177"/>
      <c r="CQ743" s="177"/>
      <c r="CR743" s="177"/>
      <c r="CS743" s="177"/>
      <c r="CT743" s="177"/>
      <c r="CU743" s="177"/>
      <c r="CV743" s="172"/>
      <c r="CW743" s="172"/>
      <c r="CX743" s="172"/>
      <c r="CY743" s="172"/>
      <c r="CZ743" s="172"/>
      <c r="DA743" s="196"/>
      <c r="DC743" s="169"/>
      <c r="DD743" s="177"/>
      <c r="DE743" s="177"/>
      <c r="DF743" s="177"/>
      <c r="DG743" s="177"/>
      <c r="DH743" s="177"/>
      <c r="DI743" s="177"/>
      <c r="DJ743" s="177"/>
      <c r="DK743" s="177"/>
      <c r="DL743" s="177"/>
      <c r="DM743" s="177"/>
      <c r="DN743" s="177"/>
      <c r="DO743" s="177"/>
      <c r="DP743" s="177"/>
      <c r="DQ743" s="172"/>
      <c r="DR743" s="172"/>
      <c r="DS743" s="172"/>
      <c r="DT743" s="172"/>
      <c r="DU743" s="172"/>
      <c r="DV743" s="196"/>
    </row>
    <row r="744" spans="85:126" x14ac:dyDescent="0.2">
      <c r="CG744" s="176"/>
      <c r="CH744" s="169"/>
      <c r="CI744" s="177"/>
      <c r="CJ744" s="177"/>
      <c r="CK744" s="177"/>
      <c r="CL744" s="177"/>
      <c r="CM744" s="177"/>
      <c r="CN744" s="177"/>
      <c r="CO744" s="177"/>
      <c r="CP744" s="177"/>
      <c r="CQ744" s="177"/>
      <c r="CR744" s="177"/>
      <c r="CS744" s="177"/>
      <c r="CT744" s="177"/>
      <c r="CU744" s="177"/>
      <c r="CV744" s="172"/>
      <c r="CW744" s="172"/>
      <c r="CX744" s="172"/>
      <c r="CY744" s="172"/>
      <c r="CZ744" s="172"/>
      <c r="DA744" s="196"/>
      <c r="DC744" s="169"/>
      <c r="DD744" s="177"/>
      <c r="DE744" s="177"/>
      <c r="DF744" s="177"/>
      <c r="DG744" s="177"/>
      <c r="DH744" s="177"/>
      <c r="DI744" s="177"/>
      <c r="DJ744" s="177"/>
      <c r="DK744" s="177"/>
      <c r="DL744" s="177"/>
      <c r="DM744" s="177"/>
      <c r="DN744" s="177"/>
      <c r="DO744" s="177"/>
      <c r="DP744" s="177"/>
      <c r="DQ744" s="172"/>
      <c r="DR744" s="172"/>
      <c r="DS744" s="172"/>
      <c r="DT744" s="172"/>
      <c r="DU744" s="172"/>
      <c r="DV744" s="196"/>
    </row>
    <row r="745" spans="85:126" x14ac:dyDescent="0.2">
      <c r="CG745" s="178"/>
      <c r="CH745" s="169"/>
      <c r="CI745" s="177"/>
      <c r="CJ745" s="177"/>
      <c r="CK745" s="177"/>
      <c r="CL745" s="177"/>
      <c r="CM745" s="177"/>
      <c r="CN745" s="177"/>
      <c r="CO745" s="177"/>
      <c r="CP745" s="177"/>
      <c r="CQ745" s="177"/>
      <c r="CR745" s="177"/>
      <c r="CS745" s="177"/>
      <c r="CT745" s="177"/>
      <c r="CU745" s="177"/>
      <c r="CV745" s="172"/>
      <c r="CW745" s="172"/>
      <c r="CX745" s="172"/>
      <c r="CY745" s="172"/>
      <c r="CZ745" s="172"/>
      <c r="DA745" s="196"/>
      <c r="DC745" s="169"/>
      <c r="DD745" s="177"/>
      <c r="DE745" s="177"/>
      <c r="DF745" s="177"/>
      <c r="DG745" s="177"/>
      <c r="DH745" s="177"/>
      <c r="DI745" s="177"/>
      <c r="DJ745" s="177"/>
      <c r="DK745" s="177"/>
      <c r="DL745" s="177"/>
      <c r="DM745" s="177"/>
      <c r="DN745" s="177"/>
      <c r="DO745" s="177"/>
      <c r="DP745" s="177"/>
      <c r="DQ745" s="172"/>
      <c r="DR745" s="172"/>
      <c r="DS745" s="172"/>
      <c r="DT745" s="172"/>
      <c r="DU745" s="172"/>
      <c r="DV745" s="196"/>
    </row>
    <row r="746" spans="85:126" x14ac:dyDescent="0.2">
      <c r="CG746" s="179"/>
      <c r="CH746" s="169"/>
      <c r="CI746" s="177"/>
      <c r="CJ746" s="177"/>
      <c r="CK746" s="177"/>
      <c r="CL746" s="177"/>
      <c r="CM746" s="177"/>
      <c r="CN746" s="177"/>
      <c r="CO746" s="177"/>
      <c r="CP746" s="177"/>
      <c r="CQ746" s="177"/>
      <c r="CR746" s="177"/>
      <c r="CS746" s="177"/>
      <c r="CT746" s="177"/>
      <c r="CU746" s="177"/>
      <c r="CV746" s="172"/>
      <c r="CW746" s="172"/>
      <c r="CX746" s="172"/>
      <c r="CY746" s="172"/>
      <c r="CZ746" s="172"/>
      <c r="DA746" s="196"/>
      <c r="DC746" s="169"/>
      <c r="DD746" s="177"/>
      <c r="DE746" s="177"/>
      <c r="DF746" s="177"/>
      <c r="DG746" s="177"/>
      <c r="DH746" s="177"/>
      <c r="DI746" s="177"/>
      <c r="DJ746" s="177"/>
      <c r="DK746" s="177"/>
      <c r="DL746" s="177"/>
      <c r="DM746" s="177"/>
      <c r="DN746" s="177"/>
      <c r="DO746" s="177"/>
      <c r="DP746" s="177"/>
      <c r="DQ746" s="172"/>
      <c r="DR746" s="172"/>
      <c r="DS746" s="172"/>
      <c r="DT746" s="172"/>
      <c r="DU746" s="172"/>
      <c r="DV746" s="196"/>
    </row>
    <row r="747" spans="85:126" x14ac:dyDescent="0.2">
      <c r="CG747" s="179"/>
      <c r="CH747" s="169"/>
      <c r="CI747" s="177"/>
      <c r="CJ747" s="177"/>
      <c r="CK747" s="177"/>
      <c r="CL747" s="177"/>
      <c r="CM747" s="177"/>
      <c r="CN747" s="177"/>
      <c r="CO747" s="177"/>
      <c r="CP747" s="177"/>
      <c r="CQ747" s="177"/>
      <c r="CR747" s="177"/>
      <c r="CS747" s="177"/>
      <c r="CT747" s="177"/>
      <c r="CU747" s="177"/>
      <c r="CV747" s="172"/>
      <c r="CW747" s="172"/>
      <c r="CX747" s="172"/>
      <c r="CY747" s="172"/>
      <c r="CZ747" s="172"/>
      <c r="DA747" s="196"/>
      <c r="DC747" s="169"/>
      <c r="DD747" s="177"/>
      <c r="DE747" s="177"/>
      <c r="DF747" s="177"/>
      <c r="DG747" s="177"/>
      <c r="DH747" s="177"/>
      <c r="DI747" s="177"/>
      <c r="DJ747" s="177"/>
      <c r="DK747" s="177"/>
      <c r="DL747" s="177"/>
      <c r="DM747" s="177"/>
      <c r="DN747" s="177"/>
      <c r="DO747" s="177"/>
      <c r="DP747" s="177"/>
      <c r="DQ747" s="172"/>
      <c r="DR747" s="172"/>
      <c r="DS747" s="172"/>
      <c r="DT747" s="172"/>
      <c r="DU747" s="172"/>
      <c r="DV747" s="196"/>
    </row>
    <row r="748" spans="85:126" x14ac:dyDescent="0.2">
      <c r="CG748" s="179"/>
      <c r="CH748" s="169"/>
      <c r="CI748" s="177"/>
      <c r="CJ748" s="177"/>
      <c r="CK748" s="177"/>
      <c r="CL748" s="177"/>
      <c r="CM748" s="177"/>
      <c r="CN748" s="177"/>
      <c r="CO748" s="177"/>
      <c r="CP748" s="177"/>
      <c r="CQ748" s="177"/>
      <c r="CR748" s="177"/>
      <c r="CS748" s="177"/>
      <c r="CT748" s="177"/>
      <c r="CU748" s="177"/>
      <c r="CV748" s="172"/>
      <c r="CW748" s="172"/>
      <c r="CX748" s="172"/>
      <c r="CY748" s="172"/>
      <c r="CZ748" s="172"/>
      <c r="DA748" s="196"/>
      <c r="DC748" s="169"/>
      <c r="DD748" s="177"/>
      <c r="DE748" s="177"/>
      <c r="DF748" s="177"/>
      <c r="DG748" s="177"/>
      <c r="DH748" s="177"/>
      <c r="DI748" s="177"/>
      <c r="DJ748" s="177"/>
      <c r="DK748" s="177"/>
      <c r="DL748" s="177"/>
      <c r="DM748" s="177"/>
      <c r="DN748" s="177"/>
      <c r="DO748" s="177"/>
      <c r="DP748" s="177"/>
      <c r="DQ748" s="172"/>
      <c r="DR748" s="172"/>
      <c r="DS748" s="172"/>
      <c r="DT748" s="172"/>
      <c r="DU748" s="172"/>
      <c r="DV748" s="196"/>
    </row>
    <row r="749" spans="85:126" x14ac:dyDescent="0.2">
      <c r="CG749" s="179"/>
      <c r="CH749" s="169"/>
      <c r="CI749" s="177"/>
      <c r="CJ749" s="177"/>
      <c r="CK749" s="177"/>
      <c r="CL749" s="177"/>
      <c r="CM749" s="177"/>
      <c r="CN749" s="177"/>
      <c r="CO749" s="177"/>
      <c r="CP749" s="177"/>
      <c r="CQ749" s="177"/>
      <c r="CR749" s="177"/>
      <c r="CS749" s="177"/>
      <c r="CT749" s="177"/>
      <c r="CU749" s="177"/>
      <c r="CV749" s="172"/>
      <c r="CW749" s="172"/>
      <c r="CX749" s="172"/>
      <c r="CY749" s="172"/>
      <c r="CZ749" s="172"/>
      <c r="DA749" s="196"/>
      <c r="DC749" s="169"/>
      <c r="DD749" s="177"/>
      <c r="DE749" s="177"/>
      <c r="DF749" s="177"/>
      <c r="DG749" s="177"/>
      <c r="DH749" s="177"/>
      <c r="DI749" s="177"/>
      <c r="DJ749" s="177"/>
      <c r="DK749" s="177"/>
      <c r="DL749" s="177"/>
      <c r="DM749" s="177"/>
      <c r="DN749" s="177"/>
      <c r="DO749" s="177"/>
      <c r="DP749" s="177"/>
      <c r="DQ749" s="172"/>
      <c r="DR749" s="172"/>
      <c r="DS749" s="172"/>
      <c r="DT749" s="172"/>
      <c r="DU749" s="172"/>
      <c r="DV749" s="196"/>
    </row>
    <row r="750" spans="85:126" x14ac:dyDescent="0.2">
      <c r="CG750" s="179"/>
      <c r="CH750" s="169"/>
      <c r="CI750" s="177"/>
      <c r="CJ750" s="177"/>
      <c r="CK750" s="177"/>
      <c r="CL750" s="177"/>
      <c r="CM750" s="177"/>
      <c r="CN750" s="177"/>
      <c r="CO750" s="177"/>
      <c r="CP750" s="177"/>
      <c r="CQ750" s="177"/>
      <c r="CR750" s="177"/>
      <c r="CS750" s="177"/>
      <c r="CT750" s="177"/>
      <c r="CU750" s="177"/>
      <c r="CV750" s="172"/>
      <c r="CW750" s="172"/>
      <c r="CX750" s="172"/>
      <c r="CY750" s="172"/>
      <c r="CZ750" s="172"/>
      <c r="DA750" s="196"/>
      <c r="DC750" s="169"/>
      <c r="DD750" s="177"/>
      <c r="DE750" s="177"/>
      <c r="DF750" s="177"/>
      <c r="DG750" s="177"/>
      <c r="DH750" s="177"/>
      <c r="DI750" s="177"/>
      <c r="DJ750" s="177"/>
      <c r="DK750" s="177"/>
      <c r="DL750" s="177"/>
      <c r="DM750" s="177"/>
      <c r="DN750" s="177"/>
      <c r="DO750" s="177"/>
      <c r="DP750" s="177"/>
      <c r="DQ750" s="172"/>
      <c r="DR750" s="172"/>
      <c r="DS750" s="172"/>
      <c r="DT750" s="172"/>
      <c r="DU750" s="172"/>
      <c r="DV750" s="196"/>
    </row>
    <row r="751" spans="85:126" x14ac:dyDescent="0.2">
      <c r="CG751" s="179"/>
      <c r="CH751" s="169"/>
      <c r="CI751" s="177"/>
      <c r="CJ751" s="177"/>
      <c r="CK751" s="177"/>
      <c r="CL751" s="177"/>
      <c r="CM751" s="177"/>
      <c r="CN751" s="177"/>
      <c r="CO751" s="177"/>
      <c r="CP751" s="177"/>
      <c r="CQ751" s="177"/>
      <c r="CR751" s="177"/>
      <c r="CS751" s="177"/>
      <c r="CT751" s="177"/>
      <c r="CU751" s="177"/>
      <c r="CV751" s="172"/>
      <c r="CW751" s="172"/>
      <c r="CX751" s="172"/>
      <c r="CY751" s="172"/>
      <c r="CZ751" s="172"/>
      <c r="DA751" s="196"/>
      <c r="DC751" s="169"/>
      <c r="DD751" s="177"/>
      <c r="DE751" s="177"/>
      <c r="DF751" s="177"/>
      <c r="DG751" s="177"/>
      <c r="DH751" s="177"/>
      <c r="DI751" s="177"/>
      <c r="DJ751" s="177"/>
      <c r="DK751" s="177"/>
      <c r="DL751" s="177"/>
      <c r="DM751" s="177"/>
      <c r="DN751" s="177"/>
      <c r="DO751" s="177"/>
      <c r="DP751" s="177"/>
      <c r="DQ751" s="172"/>
      <c r="DR751" s="172"/>
      <c r="DS751" s="172"/>
      <c r="DT751" s="172"/>
      <c r="DU751" s="172"/>
      <c r="DV751" s="196"/>
    </row>
    <row r="752" spans="85:126" x14ac:dyDescent="0.2">
      <c r="CG752" s="179"/>
      <c r="CH752" s="169"/>
      <c r="CI752" s="177"/>
      <c r="CJ752" s="177"/>
      <c r="CK752" s="177"/>
      <c r="CL752" s="177"/>
      <c r="CM752" s="177"/>
      <c r="CN752" s="177"/>
      <c r="CO752" s="177"/>
      <c r="CP752" s="177"/>
      <c r="CQ752" s="177"/>
      <c r="CR752" s="177"/>
      <c r="CS752" s="177"/>
      <c r="CT752" s="177"/>
      <c r="CU752" s="177"/>
      <c r="CV752" s="172"/>
      <c r="CW752" s="172"/>
      <c r="CX752" s="172"/>
      <c r="CY752" s="172"/>
      <c r="CZ752" s="172"/>
      <c r="DA752" s="196"/>
      <c r="DC752" s="169"/>
      <c r="DD752" s="177"/>
      <c r="DE752" s="177"/>
      <c r="DF752" s="177"/>
      <c r="DG752" s="177"/>
      <c r="DH752" s="177"/>
      <c r="DI752" s="177"/>
      <c r="DJ752" s="177"/>
      <c r="DK752" s="177"/>
      <c r="DL752" s="177"/>
      <c r="DM752" s="177"/>
      <c r="DN752" s="177"/>
      <c r="DO752" s="177"/>
      <c r="DP752" s="177"/>
      <c r="DQ752" s="172"/>
      <c r="DR752" s="172"/>
      <c r="DS752" s="172"/>
      <c r="DT752" s="172"/>
      <c r="DU752" s="172"/>
      <c r="DV752" s="196"/>
    </row>
    <row r="753" spans="85:126" x14ac:dyDescent="0.2">
      <c r="CG753" s="179"/>
      <c r="CH753" s="197"/>
      <c r="CI753" s="180"/>
      <c r="CJ753" s="180"/>
      <c r="CK753" s="180"/>
      <c r="CL753" s="180"/>
      <c r="CM753" s="180"/>
      <c r="CN753" s="180"/>
      <c r="CO753" s="180"/>
      <c r="CP753" s="180"/>
      <c r="CQ753" s="180"/>
      <c r="CR753" s="180"/>
      <c r="CS753" s="180"/>
      <c r="CT753" s="180"/>
      <c r="CU753" s="180"/>
      <c r="CV753" s="173"/>
      <c r="CW753" s="173"/>
      <c r="CX753" s="173"/>
      <c r="CY753" s="173"/>
      <c r="CZ753" s="173"/>
      <c r="DA753" s="198"/>
      <c r="DC753" s="197"/>
      <c r="DD753" s="180"/>
      <c r="DE753" s="180"/>
      <c r="DF753" s="180"/>
      <c r="DG753" s="180"/>
      <c r="DH753" s="180"/>
      <c r="DI753" s="180"/>
      <c r="DJ753" s="180"/>
      <c r="DK753" s="180"/>
      <c r="DL753" s="180"/>
      <c r="DM753" s="180"/>
      <c r="DN753" s="180"/>
      <c r="DO753" s="180"/>
      <c r="DP753" s="180"/>
      <c r="DQ753" s="173"/>
      <c r="DR753" s="173"/>
      <c r="DS753" s="173"/>
      <c r="DT753" s="173"/>
      <c r="DU753" s="173"/>
      <c r="DV753" s="198"/>
    </row>
    <row r="754" spans="85:126" x14ac:dyDescent="0.2">
      <c r="CG754" s="179"/>
      <c r="CH754" s="197"/>
      <c r="CI754" s="180"/>
      <c r="CJ754" s="180"/>
      <c r="CK754" s="180"/>
      <c r="CL754" s="180"/>
      <c r="CM754" s="180"/>
      <c r="CN754" s="180"/>
      <c r="CO754" s="180"/>
      <c r="CP754" s="180"/>
      <c r="CQ754" s="180"/>
      <c r="CR754" s="180"/>
      <c r="CS754" s="180"/>
      <c r="CT754" s="180"/>
      <c r="CU754" s="180"/>
      <c r="CV754" s="173"/>
      <c r="CW754" s="173"/>
      <c r="CX754" s="173"/>
      <c r="CY754" s="173"/>
      <c r="CZ754" s="173"/>
      <c r="DA754" s="198"/>
      <c r="DC754" s="197"/>
      <c r="DD754" s="180"/>
      <c r="DE754" s="180"/>
      <c r="DF754" s="180"/>
      <c r="DG754" s="180"/>
      <c r="DH754" s="180"/>
      <c r="DI754" s="180"/>
      <c r="DJ754" s="180"/>
      <c r="DK754" s="180"/>
      <c r="DL754" s="180"/>
      <c r="DM754" s="180"/>
      <c r="DN754" s="180"/>
      <c r="DO754" s="180"/>
      <c r="DP754" s="180"/>
      <c r="DQ754" s="173"/>
      <c r="DR754" s="173"/>
      <c r="DS754" s="173"/>
      <c r="DT754" s="173"/>
      <c r="DU754" s="173"/>
      <c r="DV754" s="198"/>
    </row>
    <row r="755" spans="85:126" x14ac:dyDescent="0.2">
      <c r="CG755" s="179"/>
      <c r="CH755" s="197"/>
      <c r="CI755" s="180"/>
      <c r="CJ755" s="180"/>
      <c r="CK755" s="180"/>
      <c r="CL755" s="180"/>
      <c r="CM755" s="180"/>
      <c r="CN755" s="180"/>
      <c r="CO755" s="180"/>
      <c r="CP755" s="180"/>
      <c r="CQ755" s="180"/>
      <c r="CR755" s="180"/>
      <c r="CS755" s="180"/>
      <c r="CT755" s="180"/>
      <c r="CU755" s="180"/>
      <c r="CV755" s="173"/>
      <c r="CW755" s="173"/>
      <c r="CX755" s="173"/>
      <c r="CY755" s="173"/>
      <c r="CZ755" s="173"/>
      <c r="DA755" s="198"/>
      <c r="DC755" s="197"/>
      <c r="DD755" s="180"/>
      <c r="DE755" s="180"/>
      <c r="DF755" s="180"/>
      <c r="DG755" s="180"/>
      <c r="DH755" s="180"/>
      <c r="DI755" s="180"/>
      <c r="DJ755" s="180"/>
      <c r="DK755" s="180"/>
      <c r="DL755" s="180"/>
      <c r="DM755" s="180"/>
      <c r="DN755" s="180"/>
      <c r="DO755" s="180"/>
      <c r="DP755" s="180"/>
      <c r="DQ755" s="173"/>
      <c r="DR755" s="173"/>
      <c r="DS755" s="173"/>
      <c r="DT755" s="173"/>
      <c r="DU755" s="173"/>
      <c r="DV755" s="198"/>
    </row>
    <row r="756" spans="85:126" x14ac:dyDescent="0.2">
      <c r="CG756" s="179"/>
      <c r="CH756" s="197"/>
      <c r="CI756" s="180"/>
      <c r="CJ756" s="180"/>
      <c r="CK756" s="180"/>
      <c r="CL756" s="180"/>
      <c r="CM756" s="180"/>
      <c r="CN756" s="180"/>
      <c r="CO756" s="180"/>
      <c r="CP756" s="180"/>
      <c r="CQ756" s="180"/>
      <c r="CR756" s="180"/>
      <c r="CS756" s="180"/>
      <c r="CT756" s="180"/>
      <c r="CU756" s="180"/>
      <c r="CV756" s="173"/>
      <c r="CW756" s="173"/>
      <c r="CX756" s="173"/>
      <c r="CY756" s="173"/>
      <c r="CZ756" s="173"/>
      <c r="DA756" s="198"/>
      <c r="DC756" s="197"/>
      <c r="DD756" s="180"/>
      <c r="DE756" s="180"/>
      <c r="DF756" s="180"/>
      <c r="DG756" s="180"/>
      <c r="DH756" s="180"/>
      <c r="DI756" s="180"/>
      <c r="DJ756" s="180"/>
      <c r="DK756" s="180"/>
      <c r="DL756" s="180"/>
      <c r="DM756" s="180"/>
      <c r="DN756" s="180"/>
      <c r="DO756" s="180"/>
      <c r="DP756" s="180"/>
      <c r="DQ756" s="173"/>
      <c r="DR756" s="173"/>
      <c r="DS756" s="173"/>
      <c r="DT756" s="173"/>
      <c r="DU756" s="173"/>
      <c r="DV756" s="198"/>
    </row>
    <row r="757" spans="85:126" x14ac:dyDescent="0.2">
      <c r="CG757" s="179"/>
      <c r="CH757" s="197"/>
      <c r="CI757" s="180"/>
      <c r="CJ757" s="180"/>
      <c r="CK757" s="180"/>
      <c r="CL757" s="180"/>
      <c r="CM757" s="180"/>
      <c r="CN757" s="180"/>
      <c r="CO757" s="180"/>
      <c r="CP757" s="180"/>
      <c r="CQ757" s="180"/>
      <c r="CR757" s="180"/>
      <c r="CS757" s="180"/>
      <c r="CT757" s="180"/>
      <c r="CU757" s="180"/>
      <c r="CV757" s="173"/>
      <c r="CW757" s="173"/>
      <c r="CX757" s="173"/>
      <c r="CY757" s="173"/>
      <c r="CZ757" s="173"/>
      <c r="DA757" s="198"/>
      <c r="DC757" s="197"/>
      <c r="DD757" s="180"/>
      <c r="DE757" s="180"/>
      <c r="DF757" s="180"/>
      <c r="DG757" s="180"/>
      <c r="DH757" s="180"/>
      <c r="DI757" s="180"/>
      <c r="DJ757" s="180"/>
      <c r="DK757" s="180"/>
      <c r="DL757" s="180"/>
      <c r="DM757" s="180"/>
      <c r="DN757" s="180"/>
      <c r="DO757" s="180"/>
      <c r="DP757" s="180"/>
      <c r="DQ757" s="173"/>
      <c r="DR757" s="173"/>
      <c r="DS757" s="173"/>
      <c r="DT757" s="173"/>
      <c r="DU757" s="173"/>
      <c r="DV757" s="198"/>
    </row>
    <row r="758" spans="85:126" x14ac:dyDescent="0.2">
      <c r="CG758" s="176"/>
      <c r="CH758" s="197"/>
      <c r="CI758" s="180"/>
      <c r="CJ758" s="180"/>
      <c r="CK758" s="180"/>
      <c r="CL758" s="180"/>
      <c r="CM758" s="180"/>
      <c r="CN758" s="180"/>
      <c r="CO758" s="180"/>
      <c r="CP758" s="180"/>
      <c r="CQ758" s="180"/>
      <c r="CR758" s="180"/>
      <c r="CS758" s="180"/>
      <c r="CT758" s="180"/>
      <c r="CU758" s="180"/>
      <c r="CV758" s="173"/>
      <c r="CW758" s="173"/>
      <c r="CX758" s="173"/>
      <c r="CY758" s="173"/>
      <c r="CZ758" s="173"/>
      <c r="DA758" s="198"/>
      <c r="DC758" s="197"/>
      <c r="DD758" s="180"/>
      <c r="DE758" s="180"/>
      <c r="DF758" s="180"/>
      <c r="DG758" s="180"/>
      <c r="DH758" s="180"/>
      <c r="DI758" s="180"/>
      <c r="DJ758" s="180"/>
      <c r="DK758" s="180"/>
      <c r="DL758" s="180"/>
      <c r="DM758" s="180"/>
      <c r="DN758" s="180"/>
      <c r="DO758" s="180"/>
      <c r="DP758" s="180"/>
      <c r="DQ758" s="173"/>
      <c r="DR758" s="173"/>
      <c r="DS758" s="173"/>
      <c r="DT758" s="173"/>
      <c r="DU758" s="173"/>
      <c r="DV758" s="198"/>
    </row>
    <row r="759" spans="85:126" x14ac:dyDescent="0.2">
      <c r="CG759" s="176"/>
      <c r="CH759" s="197"/>
      <c r="CI759" s="180"/>
      <c r="CJ759" s="180"/>
      <c r="CK759" s="180"/>
      <c r="CL759" s="180"/>
      <c r="CM759" s="180"/>
      <c r="CN759" s="180"/>
      <c r="CO759" s="180"/>
      <c r="CP759" s="180"/>
      <c r="CQ759" s="180"/>
      <c r="CR759" s="180"/>
      <c r="CS759" s="180"/>
      <c r="CT759" s="180"/>
      <c r="CU759" s="180"/>
      <c r="CV759" s="173"/>
      <c r="CW759" s="173"/>
      <c r="CX759" s="173"/>
      <c r="CY759" s="173"/>
      <c r="CZ759" s="173"/>
      <c r="DA759" s="198"/>
      <c r="DC759" s="197"/>
      <c r="DD759" s="180"/>
      <c r="DE759" s="180"/>
      <c r="DF759" s="180"/>
      <c r="DG759" s="180"/>
      <c r="DH759" s="180"/>
      <c r="DI759" s="180"/>
      <c r="DJ759" s="180"/>
      <c r="DK759" s="180"/>
      <c r="DL759" s="180"/>
      <c r="DM759" s="180"/>
      <c r="DN759" s="180"/>
      <c r="DO759" s="180"/>
      <c r="DP759" s="180"/>
      <c r="DQ759" s="173"/>
      <c r="DR759" s="173"/>
      <c r="DS759" s="173"/>
      <c r="DT759" s="173"/>
      <c r="DU759" s="173"/>
      <c r="DV759" s="198"/>
    </row>
    <row r="760" spans="85:126" x14ac:dyDescent="0.2">
      <c r="CG760" s="176"/>
      <c r="CH760" s="199"/>
      <c r="CI760" s="200"/>
      <c r="CJ760" s="200"/>
      <c r="CK760" s="200"/>
      <c r="CL760" s="200"/>
      <c r="CM760" s="200"/>
      <c r="CN760" s="200"/>
      <c r="CO760" s="200"/>
      <c r="CP760" s="200"/>
      <c r="CQ760" s="201"/>
      <c r="CR760" s="202"/>
      <c r="CS760" s="200"/>
      <c r="CT760" s="200"/>
      <c r="CU760" s="200"/>
      <c r="CV760" s="203"/>
      <c r="CW760" s="203"/>
      <c r="CX760" s="203"/>
      <c r="CY760" s="203"/>
      <c r="CZ760" s="203"/>
      <c r="DA760" s="204"/>
      <c r="DC760" s="199"/>
      <c r="DD760" s="200"/>
      <c r="DE760" s="200"/>
      <c r="DF760" s="200"/>
      <c r="DG760" s="200"/>
      <c r="DH760" s="200"/>
      <c r="DI760" s="200"/>
      <c r="DJ760" s="200"/>
      <c r="DK760" s="200"/>
      <c r="DL760" s="200"/>
      <c r="DM760" s="200"/>
      <c r="DN760" s="200"/>
      <c r="DO760" s="200"/>
      <c r="DP760" s="200"/>
      <c r="DQ760" s="203"/>
      <c r="DR760" s="203"/>
      <c r="DS760" s="203"/>
      <c r="DT760" s="203"/>
      <c r="DU760" s="203"/>
      <c r="DV760" s="204"/>
    </row>
    <row r="761" spans="85:126" x14ac:dyDescent="0.2">
      <c r="CG761" s="176">
        <v>39</v>
      </c>
      <c r="CH761" s="192"/>
      <c r="CI761" s="193"/>
      <c r="CJ761" s="193"/>
      <c r="CK761" s="193"/>
      <c r="CL761" s="193"/>
      <c r="CM761" s="193"/>
      <c r="CN761" s="193"/>
      <c r="CO761" s="193"/>
      <c r="CP761" s="193"/>
      <c r="CQ761" s="193"/>
      <c r="CR761" s="193"/>
      <c r="CS761" s="193"/>
      <c r="CT761" s="193"/>
      <c r="CU761" s="193"/>
      <c r="CV761" s="194"/>
      <c r="CW761" s="194"/>
      <c r="CX761" s="194"/>
      <c r="CY761" s="194"/>
      <c r="CZ761" s="194"/>
      <c r="DA761" s="195"/>
      <c r="DC761" s="192"/>
      <c r="DD761" s="193"/>
      <c r="DE761" s="193"/>
      <c r="DF761" s="193"/>
      <c r="DG761" s="193"/>
      <c r="DH761" s="193"/>
      <c r="DI761" s="193"/>
      <c r="DJ761" s="193"/>
      <c r="DK761" s="193"/>
      <c r="DL761" s="193"/>
      <c r="DM761" s="193"/>
      <c r="DN761" s="193"/>
      <c r="DO761" s="193"/>
      <c r="DP761" s="193"/>
      <c r="DQ761" s="194"/>
      <c r="DR761" s="194"/>
      <c r="DS761" s="194"/>
      <c r="DT761" s="194"/>
      <c r="DU761" s="194"/>
      <c r="DV761" s="195"/>
    </row>
    <row r="762" spans="85:126" x14ac:dyDescent="0.2">
      <c r="CG762" s="176"/>
      <c r="CH762" s="169"/>
      <c r="CI762" s="177"/>
      <c r="CJ762" s="177"/>
      <c r="CK762" s="177"/>
      <c r="CL762" s="177"/>
      <c r="CM762" s="177"/>
      <c r="CN762" s="177"/>
      <c r="CO762" s="177"/>
      <c r="CP762" s="177"/>
      <c r="CQ762" s="177"/>
      <c r="CR762" s="177"/>
      <c r="CS762" s="177"/>
      <c r="CT762" s="177"/>
      <c r="CU762" s="177"/>
      <c r="CV762" s="172"/>
      <c r="CW762" s="172"/>
      <c r="CX762" s="172"/>
      <c r="CY762" s="172"/>
      <c r="CZ762" s="172"/>
      <c r="DA762" s="196"/>
      <c r="DC762" s="169"/>
      <c r="DD762" s="177"/>
      <c r="DE762" s="177"/>
      <c r="DF762" s="177"/>
      <c r="DG762" s="177"/>
      <c r="DH762" s="177"/>
      <c r="DI762" s="177"/>
      <c r="DJ762" s="177"/>
      <c r="DK762" s="177"/>
      <c r="DL762" s="177"/>
      <c r="DM762" s="177"/>
      <c r="DN762" s="177"/>
      <c r="DO762" s="177"/>
      <c r="DP762" s="177"/>
      <c r="DQ762" s="172"/>
      <c r="DR762" s="172"/>
      <c r="DS762" s="172"/>
      <c r="DT762" s="172"/>
      <c r="DU762" s="172"/>
      <c r="DV762" s="196"/>
    </row>
    <row r="763" spans="85:126" x14ac:dyDescent="0.2">
      <c r="CG763" s="131"/>
      <c r="CH763" s="169"/>
      <c r="CI763" s="177"/>
      <c r="CJ763" s="177"/>
      <c r="CK763" s="177"/>
      <c r="CL763" s="177"/>
      <c r="CM763" s="177"/>
      <c r="CN763" s="177"/>
      <c r="CO763" s="177"/>
      <c r="CP763" s="177"/>
      <c r="CQ763" s="177"/>
      <c r="CR763" s="177"/>
      <c r="CS763" s="177"/>
      <c r="CT763" s="177"/>
      <c r="CU763" s="177"/>
      <c r="CV763" s="172"/>
      <c r="CW763" s="172"/>
      <c r="CX763" s="172"/>
      <c r="CY763" s="172"/>
      <c r="CZ763" s="172"/>
      <c r="DA763" s="196"/>
      <c r="DC763" s="169"/>
      <c r="DD763" s="177"/>
      <c r="DE763" s="177"/>
      <c r="DF763" s="177"/>
      <c r="DG763" s="177"/>
      <c r="DH763" s="177"/>
      <c r="DI763" s="177"/>
      <c r="DJ763" s="177"/>
      <c r="DK763" s="177"/>
      <c r="DL763" s="177"/>
      <c r="DM763" s="177"/>
      <c r="DN763" s="177"/>
      <c r="DO763" s="177"/>
      <c r="DP763" s="177"/>
      <c r="DQ763" s="172"/>
      <c r="DR763" s="172"/>
      <c r="DS763" s="172"/>
      <c r="DT763" s="172"/>
      <c r="DU763" s="172"/>
      <c r="DV763" s="196"/>
    </row>
    <row r="764" spans="85:126" x14ac:dyDescent="0.2">
      <c r="CG764" s="176"/>
      <c r="CH764" s="169"/>
      <c r="CI764" s="177"/>
      <c r="CJ764" s="177"/>
      <c r="CK764" s="177"/>
      <c r="CL764" s="177"/>
      <c r="CM764" s="177"/>
      <c r="CN764" s="177"/>
      <c r="CO764" s="177"/>
      <c r="CP764" s="177"/>
      <c r="CQ764" s="177"/>
      <c r="CR764" s="177"/>
      <c r="CS764" s="177"/>
      <c r="CT764" s="177"/>
      <c r="CU764" s="177"/>
      <c r="CV764" s="172"/>
      <c r="CW764" s="172"/>
      <c r="CX764" s="172"/>
      <c r="CY764" s="172"/>
      <c r="CZ764" s="172"/>
      <c r="DA764" s="196"/>
      <c r="DC764" s="169"/>
      <c r="DD764" s="177"/>
      <c r="DE764" s="177"/>
      <c r="DF764" s="177"/>
      <c r="DG764" s="177"/>
      <c r="DH764" s="177"/>
      <c r="DI764" s="177"/>
      <c r="DJ764" s="177"/>
      <c r="DK764" s="177"/>
      <c r="DL764" s="177"/>
      <c r="DM764" s="177"/>
      <c r="DN764" s="177"/>
      <c r="DO764" s="177"/>
      <c r="DP764" s="177"/>
      <c r="DQ764" s="172"/>
      <c r="DR764" s="172"/>
      <c r="DS764" s="172"/>
      <c r="DT764" s="172"/>
      <c r="DU764" s="172"/>
      <c r="DV764" s="196"/>
    </row>
    <row r="765" spans="85:126" x14ac:dyDescent="0.2">
      <c r="CG765" s="178"/>
      <c r="CH765" s="169"/>
      <c r="CI765" s="177"/>
      <c r="CJ765" s="177"/>
      <c r="CK765" s="177"/>
      <c r="CL765" s="177"/>
      <c r="CM765" s="177"/>
      <c r="CN765" s="177"/>
      <c r="CO765" s="177"/>
      <c r="CP765" s="177"/>
      <c r="CQ765" s="177"/>
      <c r="CR765" s="177"/>
      <c r="CS765" s="177"/>
      <c r="CT765" s="177"/>
      <c r="CU765" s="177"/>
      <c r="CV765" s="172"/>
      <c r="CW765" s="172"/>
      <c r="CX765" s="172"/>
      <c r="CY765" s="172"/>
      <c r="CZ765" s="172"/>
      <c r="DA765" s="196"/>
      <c r="DC765" s="169"/>
      <c r="DD765" s="177"/>
      <c r="DE765" s="177"/>
      <c r="DF765" s="177"/>
      <c r="DG765" s="177"/>
      <c r="DH765" s="177"/>
      <c r="DI765" s="177"/>
      <c r="DJ765" s="177"/>
      <c r="DK765" s="177"/>
      <c r="DL765" s="177"/>
      <c r="DM765" s="177"/>
      <c r="DN765" s="177"/>
      <c r="DO765" s="177"/>
      <c r="DP765" s="177"/>
      <c r="DQ765" s="172"/>
      <c r="DR765" s="172"/>
      <c r="DS765" s="172"/>
      <c r="DT765" s="172"/>
      <c r="DU765" s="172"/>
      <c r="DV765" s="196"/>
    </row>
    <row r="766" spans="85:126" x14ac:dyDescent="0.2">
      <c r="CG766" s="179"/>
      <c r="CH766" s="169"/>
      <c r="CI766" s="177"/>
      <c r="CJ766" s="177"/>
      <c r="CK766" s="177"/>
      <c r="CL766" s="177"/>
      <c r="CM766" s="177"/>
      <c r="CN766" s="177"/>
      <c r="CO766" s="177"/>
      <c r="CP766" s="177"/>
      <c r="CQ766" s="177"/>
      <c r="CR766" s="177"/>
      <c r="CS766" s="177"/>
      <c r="CT766" s="177"/>
      <c r="CU766" s="177"/>
      <c r="CV766" s="172"/>
      <c r="CW766" s="172"/>
      <c r="CX766" s="172"/>
      <c r="CY766" s="172"/>
      <c r="CZ766" s="172"/>
      <c r="DA766" s="196"/>
      <c r="DC766" s="169"/>
      <c r="DD766" s="177"/>
      <c r="DE766" s="177"/>
      <c r="DF766" s="177"/>
      <c r="DG766" s="177"/>
      <c r="DH766" s="177"/>
      <c r="DI766" s="177"/>
      <c r="DJ766" s="177"/>
      <c r="DK766" s="177"/>
      <c r="DL766" s="177"/>
      <c r="DM766" s="177"/>
      <c r="DN766" s="177"/>
      <c r="DO766" s="177"/>
      <c r="DP766" s="177"/>
      <c r="DQ766" s="172"/>
      <c r="DR766" s="172"/>
      <c r="DS766" s="172"/>
      <c r="DT766" s="172"/>
      <c r="DU766" s="172"/>
      <c r="DV766" s="196"/>
    </row>
    <row r="767" spans="85:126" x14ac:dyDescent="0.2">
      <c r="CG767" s="179"/>
      <c r="CH767" s="169"/>
      <c r="CI767" s="177"/>
      <c r="CJ767" s="177"/>
      <c r="CK767" s="177"/>
      <c r="CL767" s="177"/>
      <c r="CM767" s="177"/>
      <c r="CN767" s="177"/>
      <c r="CO767" s="177"/>
      <c r="CP767" s="177"/>
      <c r="CQ767" s="177"/>
      <c r="CR767" s="177"/>
      <c r="CS767" s="177"/>
      <c r="CT767" s="177"/>
      <c r="CU767" s="177"/>
      <c r="CV767" s="172"/>
      <c r="CW767" s="172"/>
      <c r="CX767" s="172"/>
      <c r="CY767" s="172"/>
      <c r="CZ767" s="172"/>
      <c r="DA767" s="196"/>
      <c r="DC767" s="169"/>
      <c r="DD767" s="177"/>
      <c r="DE767" s="177"/>
      <c r="DF767" s="177"/>
      <c r="DG767" s="177"/>
      <c r="DH767" s="177"/>
      <c r="DI767" s="177"/>
      <c r="DJ767" s="177"/>
      <c r="DK767" s="177"/>
      <c r="DL767" s="177"/>
      <c r="DM767" s="177"/>
      <c r="DN767" s="177"/>
      <c r="DO767" s="177"/>
      <c r="DP767" s="177"/>
      <c r="DQ767" s="172"/>
      <c r="DR767" s="172"/>
      <c r="DS767" s="172"/>
      <c r="DT767" s="172"/>
      <c r="DU767" s="172"/>
      <c r="DV767" s="196"/>
    </row>
    <row r="768" spans="85:126" x14ac:dyDescent="0.2">
      <c r="CG768" s="179"/>
      <c r="CH768" s="169"/>
      <c r="CI768" s="177"/>
      <c r="CJ768" s="177"/>
      <c r="CK768" s="177"/>
      <c r="CL768" s="177"/>
      <c r="CM768" s="177"/>
      <c r="CN768" s="177"/>
      <c r="CO768" s="177"/>
      <c r="CP768" s="177"/>
      <c r="CQ768" s="177"/>
      <c r="CR768" s="177"/>
      <c r="CS768" s="177"/>
      <c r="CT768" s="177"/>
      <c r="CU768" s="177"/>
      <c r="CV768" s="172"/>
      <c r="CW768" s="172"/>
      <c r="CX768" s="172"/>
      <c r="CY768" s="172"/>
      <c r="CZ768" s="172"/>
      <c r="DA768" s="196"/>
      <c r="DC768" s="169"/>
      <c r="DD768" s="177"/>
      <c r="DE768" s="177"/>
      <c r="DF768" s="177"/>
      <c r="DG768" s="177"/>
      <c r="DH768" s="177"/>
      <c r="DI768" s="177"/>
      <c r="DJ768" s="177"/>
      <c r="DK768" s="177"/>
      <c r="DL768" s="177"/>
      <c r="DM768" s="177"/>
      <c r="DN768" s="177"/>
      <c r="DO768" s="177"/>
      <c r="DP768" s="177"/>
      <c r="DQ768" s="172"/>
      <c r="DR768" s="172"/>
      <c r="DS768" s="172"/>
      <c r="DT768" s="172"/>
      <c r="DU768" s="172"/>
      <c r="DV768" s="196"/>
    </row>
    <row r="769" spans="85:126" x14ac:dyDescent="0.2">
      <c r="CG769" s="179"/>
      <c r="CH769" s="169"/>
      <c r="CI769" s="177"/>
      <c r="CJ769" s="177"/>
      <c r="CK769" s="177"/>
      <c r="CL769" s="177"/>
      <c r="CM769" s="177"/>
      <c r="CN769" s="177"/>
      <c r="CO769" s="177"/>
      <c r="CP769" s="177"/>
      <c r="CQ769" s="177"/>
      <c r="CR769" s="177"/>
      <c r="CS769" s="177"/>
      <c r="CT769" s="177"/>
      <c r="CU769" s="177"/>
      <c r="CV769" s="172"/>
      <c r="CW769" s="172"/>
      <c r="CX769" s="172"/>
      <c r="CY769" s="172"/>
      <c r="CZ769" s="172"/>
      <c r="DA769" s="196"/>
      <c r="DC769" s="169"/>
      <c r="DD769" s="177"/>
      <c r="DE769" s="177"/>
      <c r="DF769" s="177"/>
      <c r="DG769" s="177"/>
      <c r="DH769" s="177"/>
      <c r="DI769" s="177"/>
      <c r="DJ769" s="177"/>
      <c r="DK769" s="177"/>
      <c r="DL769" s="177"/>
      <c r="DM769" s="177"/>
      <c r="DN769" s="177"/>
      <c r="DO769" s="177"/>
      <c r="DP769" s="177"/>
      <c r="DQ769" s="172"/>
      <c r="DR769" s="172"/>
      <c r="DS769" s="172"/>
      <c r="DT769" s="172"/>
      <c r="DU769" s="172"/>
      <c r="DV769" s="196"/>
    </row>
    <row r="770" spans="85:126" x14ac:dyDescent="0.2">
      <c r="CG770" s="179"/>
      <c r="CH770" s="169"/>
      <c r="CI770" s="177"/>
      <c r="CJ770" s="177"/>
      <c r="CK770" s="177"/>
      <c r="CL770" s="177"/>
      <c r="CM770" s="177"/>
      <c r="CN770" s="177"/>
      <c r="CO770" s="177"/>
      <c r="CP770" s="177"/>
      <c r="CQ770" s="177"/>
      <c r="CR770" s="177"/>
      <c r="CS770" s="177"/>
      <c r="CT770" s="177"/>
      <c r="CU770" s="177"/>
      <c r="CV770" s="172"/>
      <c r="CW770" s="172"/>
      <c r="CX770" s="172"/>
      <c r="CY770" s="172"/>
      <c r="CZ770" s="172"/>
      <c r="DA770" s="196"/>
      <c r="DC770" s="169"/>
      <c r="DD770" s="177"/>
      <c r="DE770" s="177"/>
      <c r="DF770" s="177"/>
      <c r="DG770" s="177"/>
      <c r="DH770" s="177"/>
      <c r="DI770" s="177"/>
      <c r="DJ770" s="177"/>
      <c r="DK770" s="177"/>
      <c r="DL770" s="177"/>
      <c r="DM770" s="177"/>
      <c r="DN770" s="177"/>
      <c r="DO770" s="177"/>
      <c r="DP770" s="177"/>
      <c r="DQ770" s="172"/>
      <c r="DR770" s="172"/>
      <c r="DS770" s="172"/>
      <c r="DT770" s="172"/>
      <c r="DU770" s="172"/>
      <c r="DV770" s="196"/>
    </row>
    <row r="771" spans="85:126" x14ac:dyDescent="0.2">
      <c r="CG771" s="179"/>
      <c r="CH771" s="169"/>
      <c r="CI771" s="177"/>
      <c r="CJ771" s="177"/>
      <c r="CK771" s="177"/>
      <c r="CL771" s="177"/>
      <c r="CM771" s="177"/>
      <c r="CN771" s="177"/>
      <c r="CO771" s="177"/>
      <c r="CP771" s="177"/>
      <c r="CQ771" s="177"/>
      <c r="CR771" s="177"/>
      <c r="CS771" s="177"/>
      <c r="CT771" s="177"/>
      <c r="CU771" s="177"/>
      <c r="CV771" s="172"/>
      <c r="CW771" s="172"/>
      <c r="CX771" s="172"/>
      <c r="CY771" s="172"/>
      <c r="CZ771" s="172"/>
      <c r="DA771" s="196"/>
      <c r="DC771" s="169"/>
      <c r="DD771" s="177"/>
      <c r="DE771" s="177"/>
      <c r="DF771" s="177"/>
      <c r="DG771" s="177"/>
      <c r="DH771" s="177"/>
      <c r="DI771" s="177"/>
      <c r="DJ771" s="177"/>
      <c r="DK771" s="177"/>
      <c r="DL771" s="177"/>
      <c r="DM771" s="177"/>
      <c r="DN771" s="177"/>
      <c r="DO771" s="177"/>
      <c r="DP771" s="177"/>
      <c r="DQ771" s="172"/>
      <c r="DR771" s="172"/>
      <c r="DS771" s="172"/>
      <c r="DT771" s="172"/>
      <c r="DU771" s="172"/>
      <c r="DV771" s="196"/>
    </row>
    <row r="772" spans="85:126" x14ac:dyDescent="0.2">
      <c r="CG772" s="179"/>
      <c r="CH772" s="169"/>
      <c r="CI772" s="177"/>
      <c r="CJ772" s="177"/>
      <c r="CK772" s="177"/>
      <c r="CL772" s="177"/>
      <c r="CM772" s="177"/>
      <c r="CN772" s="177"/>
      <c r="CO772" s="177"/>
      <c r="CP772" s="177"/>
      <c r="CQ772" s="177"/>
      <c r="CR772" s="177"/>
      <c r="CS772" s="177"/>
      <c r="CT772" s="177"/>
      <c r="CU772" s="177"/>
      <c r="CV772" s="172"/>
      <c r="CW772" s="172"/>
      <c r="CX772" s="172"/>
      <c r="CY772" s="172"/>
      <c r="CZ772" s="172"/>
      <c r="DA772" s="196"/>
      <c r="DC772" s="169"/>
      <c r="DD772" s="177"/>
      <c r="DE772" s="177"/>
      <c r="DF772" s="177"/>
      <c r="DG772" s="177"/>
      <c r="DH772" s="177"/>
      <c r="DI772" s="177"/>
      <c r="DJ772" s="177"/>
      <c r="DK772" s="177"/>
      <c r="DL772" s="177"/>
      <c r="DM772" s="177"/>
      <c r="DN772" s="177"/>
      <c r="DO772" s="177"/>
      <c r="DP772" s="177"/>
      <c r="DQ772" s="172"/>
      <c r="DR772" s="172"/>
      <c r="DS772" s="172"/>
      <c r="DT772" s="172"/>
      <c r="DU772" s="172"/>
      <c r="DV772" s="196"/>
    </row>
    <row r="773" spans="85:126" x14ac:dyDescent="0.2">
      <c r="CG773" s="179"/>
      <c r="CH773" s="197"/>
      <c r="CI773" s="180"/>
      <c r="CJ773" s="180"/>
      <c r="CK773" s="180"/>
      <c r="CL773" s="180"/>
      <c r="CM773" s="180"/>
      <c r="CN773" s="180"/>
      <c r="CO773" s="180"/>
      <c r="CP773" s="180"/>
      <c r="CQ773" s="180"/>
      <c r="CR773" s="180"/>
      <c r="CS773" s="180"/>
      <c r="CT773" s="180"/>
      <c r="CU773" s="180"/>
      <c r="CV773" s="173"/>
      <c r="CW773" s="173"/>
      <c r="CX773" s="173"/>
      <c r="CY773" s="173"/>
      <c r="CZ773" s="173"/>
      <c r="DA773" s="198"/>
      <c r="DC773" s="197"/>
      <c r="DD773" s="180"/>
      <c r="DE773" s="180"/>
      <c r="DF773" s="180"/>
      <c r="DG773" s="180"/>
      <c r="DH773" s="180"/>
      <c r="DI773" s="180"/>
      <c r="DJ773" s="180"/>
      <c r="DK773" s="180"/>
      <c r="DL773" s="180"/>
      <c r="DM773" s="180"/>
      <c r="DN773" s="180"/>
      <c r="DO773" s="180"/>
      <c r="DP773" s="180"/>
      <c r="DQ773" s="173"/>
      <c r="DR773" s="173"/>
      <c r="DS773" s="173"/>
      <c r="DT773" s="173"/>
      <c r="DU773" s="173"/>
      <c r="DV773" s="198"/>
    </row>
    <row r="774" spans="85:126" x14ac:dyDescent="0.2">
      <c r="CG774" s="179"/>
      <c r="CH774" s="197"/>
      <c r="CI774" s="180"/>
      <c r="CJ774" s="180"/>
      <c r="CK774" s="180"/>
      <c r="CL774" s="180"/>
      <c r="CM774" s="180"/>
      <c r="CN774" s="180"/>
      <c r="CO774" s="180"/>
      <c r="CP774" s="180"/>
      <c r="CQ774" s="180"/>
      <c r="CR774" s="180"/>
      <c r="CS774" s="180"/>
      <c r="CT774" s="180"/>
      <c r="CU774" s="180"/>
      <c r="CV774" s="173"/>
      <c r="CW774" s="173"/>
      <c r="CX774" s="173"/>
      <c r="CY774" s="173"/>
      <c r="CZ774" s="173"/>
      <c r="DA774" s="198"/>
      <c r="DC774" s="197"/>
      <c r="DD774" s="180"/>
      <c r="DE774" s="180"/>
      <c r="DF774" s="180"/>
      <c r="DG774" s="180"/>
      <c r="DH774" s="180"/>
      <c r="DI774" s="180"/>
      <c r="DJ774" s="180"/>
      <c r="DK774" s="180"/>
      <c r="DL774" s="180"/>
      <c r="DM774" s="180"/>
      <c r="DN774" s="180"/>
      <c r="DO774" s="180"/>
      <c r="DP774" s="180"/>
      <c r="DQ774" s="173"/>
      <c r="DR774" s="173"/>
      <c r="DS774" s="173"/>
      <c r="DT774" s="173"/>
      <c r="DU774" s="173"/>
      <c r="DV774" s="198"/>
    </row>
    <row r="775" spans="85:126" x14ac:dyDescent="0.2">
      <c r="CG775" s="179"/>
      <c r="CH775" s="197"/>
      <c r="CI775" s="180"/>
      <c r="CJ775" s="180"/>
      <c r="CK775" s="180"/>
      <c r="CL775" s="180"/>
      <c r="CM775" s="180"/>
      <c r="CN775" s="180"/>
      <c r="CO775" s="180"/>
      <c r="CP775" s="180"/>
      <c r="CQ775" s="180"/>
      <c r="CR775" s="180"/>
      <c r="CS775" s="180"/>
      <c r="CT775" s="180"/>
      <c r="CU775" s="180"/>
      <c r="CV775" s="173"/>
      <c r="CW775" s="173"/>
      <c r="CX775" s="173"/>
      <c r="CY775" s="173"/>
      <c r="CZ775" s="173"/>
      <c r="DA775" s="198"/>
      <c r="DC775" s="197"/>
      <c r="DD775" s="180"/>
      <c r="DE775" s="180"/>
      <c r="DF775" s="180"/>
      <c r="DG775" s="180"/>
      <c r="DH775" s="180"/>
      <c r="DI775" s="180"/>
      <c r="DJ775" s="180"/>
      <c r="DK775" s="180"/>
      <c r="DL775" s="180"/>
      <c r="DM775" s="180"/>
      <c r="DN775" s="180"/>
      <c r="DO775" s="180"/>
      <c r="DP775" s="180"/>
      <c r="DQ775" s="173"/>
      <c r="DR775" s="173"/>
      <c r="DS775" s="173"/>
      <c r="DT775" s="173"/>
      <c r="DU775" s="173"/>
      <c r="DV775" s="198"/>
    </row>
    <row r="776" spans="85:126" x14ac:dyDescent="0.2">
      <c r="CG776" s="179"/>
      <c r="CH776" s="197"/>
      <c r="CI776" s="180"/>
      <c r="CJ776" s="180"/>
      <c r="CK776" s="180"/>
      <c r="CL776" s="180"/>
      <c r="CM776" s="180"/>
      <c r="CN776" s="180"/>
      <c r="CO776" s="180"/>
      <c r="CP776" s="180"/>
      <c r="CQ776" s="180"/>
      <c r="CR776" s="180"/>
      <c r="CS776" s="180"/>
      <c r="CT776" s="180"/>
      <c r="CU776" s="180"/>
      <c r="CV776" s="173"/>
      <c r="CW776" s="173"/>
      <c r="CX776" s="173"/>
      <c r="CY776" s="173"/>
      <c r="CZ776" s="173"/>
      <c r="DA776" s="198"/>
      <c r="DC776" s="197"/>
      <c r="DD776" s="180"/>
      <c r="DE776" s="180"/>
      <c r="DF776" s="180"/>
      <c r="DG776" s="180"/>
      <c r="DH776" s="180"/>
      <c r="DI776" s="180"/>
      <c r="DJ776" s="180"/>
      <c r="DK776" s="180"/>
      <c r="DL776" s="180"/>
      <c r="DM776" s="180"/>
      <c r="DN776" s="180"/>
      <c r="DO776" s="180"/>
      <c r="DP776" s="180"/>
      <c r="DQ776" s="173"/>
      <c r="DR776" s="173"/>
      <c r="DS776" s="173"/>
      <c r="DT776" s="173"/>
      <c r="DU776" s="173"/>
      <c r="DV776" s="198"/>
    </row>
    <row r="777" spans="85:126" x14ac:dyDescent="0.2">
      <c r="CG777" s="179"/>
      <c r="CH777" s="197"/>
      <c r="CI777" s="180"/>
      <c r="CJ777" s="180"/>
      <c r="CK777" s="180"/>
      <c r="CL777" s="180"/>
      <c r="CM777" s="180"/>
      <c r="CN777" s="180"/>
      <c r="CO777" s="180"/>
      <c r="CP777" s="180"/>
      <c r="CQ777" s="180"/>
      <c r="CR777" s="180"/>
      <c r="CS777" s="180"/>
      <c r="CT777" s="180"/>
      <c r="CU777" s="180"/>
      <c r="CV777" s="173"/>
      <c r="CW777" s="173"/>
      <c r="CX777" s="173"/>
      <c r="CY777" s="173"/>
      <c r="CZ777" s="173"/>
      <c r="DA777" s="198"/>
      <c r="DC777" s="197"/>
      <c r="DD777" s="180"/>
      <c r="DE777" s="180"/>
      <c r="DF777" s="180"/>
      <c r="DG777" s="180"/>
      <c r="DH777" s="180"/>
      <c r="DI777" s="180"/>
      <c r="DJ777" s="180"/>
      <c r="DK777" s="180"/>
      <c r="DL777" s="180"/>
      <c r="DM777" s="180"/>
      <c r="DN777" s="180"/>
      <c r="DO777" s="180"/>
      <c r="DP777" s="180"/>
      <c r="DQ777" s="173"/>
      <c r="DR777" s="173"/>
      <c r="DS777" s="173"/>
      <c r="DT777" s="173"/>
      <c r="DU777" s="173"/>
      <c r="DV777" s="198"/>
    </row>
    <row r="778" spans="85:126" x14ac:dyDescent="0.2">
      <c r="CG778" s="176"/>
      <c r="CH778" s="197"/>
      <c r="CI778" s="180"/>
      <c r="CJ778" s="180"/>
      <c r="CK778" s="180"/>
      <c r="CL778" s="180"/>
      <c r="CM778" s="180"/>
      <c r="CN778" s="180"/>
      <c r="CO778" s="180"/>
      <c r="CP778" s="180"/>
      <c r="CQ778" s="180"/>
      <c r="CR778" s="180"/>
      <c r="CS778" s="180"/>
      <c r="CT778" s="180"/>
      <c r="CU778" s="180"/>
      <c r="CV778" s="173"/>
      <c r="CW778" s="173"/>
      <c r="CX778" s="173"/>
      <c r="CY778" s="173"/>
      <c r="CZ778" s="173"/>
      <c r="DA778" s="198"/>
      <c r="DC778" s="197"/>
      <c r="DD778" s="180"/>
      <c r="DE778" s="180"/>
      <c r="DF778" s="180"/>
      <c r="DG778" s="180"/>
      <c r="DH778" s="180"/>
      <c r="DI778" s="180"/>
      <c r="DJ778" s="180"/>
      <c r="DK778" s="180"/>
      <c r="DL778" s="180"/>
      <c r="DM778" s="180"/>
      <c r="DN778" s="180"/>
      <c r="DO778" s="180"/>
      <c r="DP778" s="180"/>
      <c r="DQ778" s="173"/>
      <c r="DR778" s="173"/>
      <c r="DS778" s="173"/>
      <c r="DT778" s="173"/>
      <c r="DU778" s="173"/>
      <c r="DV778" s="198"/>
    </row>
    <row r="779" spans="85:126" x14ac:dyDescent="0.2">
      <c r="CG779" s="176"/>
      <c r="CH779" s="197"/>
      <c r="CI779" s="180"/>
      <c r="CJ779" s="180"/>
      <c r="CK779" s="180"/>
      <c r="CL779" s="180"/>
      <c r="CM779" s="180"/>
      <c r="CN779" s="180"/>
      <c r="CO779" s="180"/>
      <c r="CP779" s="180"/>
      <c r="CQ779" s="180"/>
      <c r="CR779" s="180"/>
      <c r="CS779" s="180"/>
      <c r="CT779" s="180"/>
      <c r="CU779" s="180"/>
      <c r="CV779" s="173"/>
      <c r="CW779" s="173"/>
      <c r="CX779" s="173"/>
      <c r="CY779" s="173"/>
      <c r="CZ779" s="173"/>
      <c r="DA779" s="198"/>
      <c r="DC779" s="197"/>
      <c r="DD779" s="180"/>
      <c r="DE779" s="180"/>
      <c r="DF779" s="180"/>
      <c r="DG779" s="180"/>
      <c r="DH779" s="180"/>
      <c r="DI779" s="180"/>
      <c r="DJ779" s="180"/>
      <c r="DK779" s="180"/>
      <c r="DL779" s="180"/>
      <c r="DM779" s="180"/>
      <c r="DN779" s="180"/>
      <c r="DO779" s="180"/>
      <c r="DP779" s="180"/>
      <c r="DQ779" s="173"/>
      <c r="DR779" s="173"/>
      <c r="DS779" s="173"/>
      <c r="DT779" s="173"/>
      <c r="DU779" s="173"/>
      <c r="DV779" s="198"/>
    </row>
    <row r="780" spans="85:126" x14ac:dyDescent="0.2">
      <c r="CG780" s="176"/>
      <c r="CH780" s="199"/>
      <c r="CI780" s="200"/>
      <c r="CJ780" s="200"/>
      <c r="CK780" s="200"/>
      <c r="CL780" s="200"/>
      <c r="CM780" s="200"/>
      <c r="CN780" s="200"/>
      <c r="CO780" s="200"/>
      <c r="CP780" s="200"/>
      <c r="CQ780" s="201"/>
      <c r="CR780" s="202"/>
      <c r="CS780" s="200"/>
      <c r="CT780" s="200"/>
      <c r="CU780" s="200"/>
      <c r="CV780" s="203"/>
      <c r="CW780" s="203"/>
      <c r="CX780" s="203"/>
      <c r="CY780" s="203"/>
      <c r="CZ780" s="203"/>
      <c r="DA780" s="204"/>
      <c r="DC780" s="199"/>
      <c r="DD780" s="200"/>
      <c r="DE780" s="200"/>
      <c r="DF780" s="200"/>
      <c r="DG780" s="200"/>
      <c r="DH780" s="200"/>
      <c r="DI780" s="200"/>
      <c r="DJ780" s="200"/>
      <c r="DK780" s="200"/>
      <c r="DL780" s="200"/>
      <c r="DM780" s="200"/>
      <c r="DN780" s="200"/>
      <c r="DO780" s="200"/>
      <c r="DP780" s="200"/>
      <c r="DQ780" s="203"/>
      <c r="DR780" s="203"/>
      <c r="DS780" s="203"/>
      <c r="DT780" s="203"/>
      <c r="DU780" s="203"/>
      <c r="DV780" s="204"/>
    </row>
    <row r="781" spans="85:126" x14ac:dyDescent="0.2">
      <c r="CG781" s="176">
        <v>40</v>
      </c>
      <c r="CH781" s="192"/>
      <c r="CI781" s="193"/>
      <c r="CJ781" s="193"/>
      <c r="CK781" s="193"/>
      <c r="CL781" s="193"/>
      <c r="CM781" s="193"/>
      <c r="CN781" s="193"/>
      <c r="CO781" s="193"/>
      <c r="CP781" s="193"/>
      <c r="CQ781" s="193"/>
      <c r="CR781" s="193"/>
      <c r="CS781" s="193"/>
      <c r="CT781" s="193"/>
      <c r="CU781" s="193"/>
      <c r="CV781" s="194"/>
      <c r="CW781" s="194"/>
      <c r="CX781" s="194"/>
      <c r="CY781" s="194"/>
      <c r="CZ781" s="194"/>
      <c r="DA781" s="195"/>
      <c r="DC781" s="192"/>
      <c r="DD781" s="193"/>
      <c r="DE781" s="193"/>
      <c r="DF781" s="193"/>
      <c r="DG781" s="193"/>
      <c r="DH781" s="193"/>
      <c r="DI781" s="193"/>
      <c r="DJ781" s="193"/>
      <c r="DK781" s="193"/>
      <c r="DL781" s="193"/>
      <c r="DM781" s="193"/>
      <c r="DN781" s="193"/>
      <c r="DO781" s="193"/>
      <c r="DP781" s="193"/>
      <c r="DQ781" s="194"/>
      <c r="DR781" s="194"/>
      <c r="DS781" s="194"/>
      <c r="DT781" s="194"/>
      <c r="DU781" s="194"/>
      <c r="DV781" s="195"/>
    </row>
    <row r="782" spans="85:126" x14ac:dyDescent="0.2">
      <c r="CG782" s="176"/>
      <c r="CH782" s="169"/>
      <c r="CI782" s="177"/>
      <c r="CJ782" s="177"/>
      <c r="CK782" s="177"/>
      <c r="CL782" s="177"/>
      <c r="CM782" s="177"/>
      <c r="CN782" s="177"/>
      <c r="CO782" s="177"/>
      <c r="CP782" s="177"/>
      <c r="CQ782" s="177"/>
      <c r="CR782" s="177"/>
      <c r="CS782" s="177"/>
      <c r="CT782" s="177"/>
      <c r="CU782" s="177"/>
      <c r="CV782" s="172"/>
      <c r="CW782" s="172"/>
      <c r="CX782" s="172"/>
      <c r="CY782" s="172"/>
      <c r="CZ782" s="172"/>
      <c r="DA782" s="196"/>
      <c r="DC782" s="169"/>
      <c r="DD782" s="177"/>
      <c r="DE782" s="177"/>
      <c r="DF782" s="177"/>
      <c r="DG782" s="177"/>
      <c r="DH782" s="177"/>
      <c r="DI782" s="177"/>
      <c r="DJ782" s="177"/>
      <c r="DK782" s="177"/>
      <c r="DL782" s="177"/>
      <c r="DM782" s="177"/>
      <c r="DN782" s="177"/>
      <c r="DO782" s="177"/>
      <c r="DP782" s="177"/>
      <c r="DQ782" s="172"/>
      <c r="DR782" s="172"/>
      <c r="DS782" s="172"/>
      <c r="DT782" s="172"/>
      <c r="DU782" s="172"/>
      <c r="DV782" s="196"/>
    </row>
    <row r="783" spans="85:126" x14ac:dyDescent="0.2">
      <c r="CG783" s="131"/>
      <c r="CH783" s="169"/>
      <c r="CI783" s="177"/>
      <c r="CJ783" s="177"/>
      <c r="CK783" s="177"/>
      <c r="CL783" s="177"/>
      <c r="CM783" s="177"/>
      <c r="CN783" s="177"/>
      <c r="CO783" s="177"/>
      <c r="CP783" s="177"/>
      <c r="CQ783" s="177"/>
      <c r="CR783" s="177"/>
      <c r="CS783" s="177"/>
      <c r="CT783" s="177"/>
      <c r="CU783" s="177"/>
      <c r="CV783" s="172"/>
      <c r="CW783" s="172"/>
      <c r="CX783" s="172"/>
      <c r="CY783" s="172"/>
      <c r="CZ783" s="172"/>
      <c r="DA783" s="196"/>
      <c r="DC783" s="169"/>
      <c r="DD783" s="177"/>
      <c r="DE783" s="177"/>
      <c r="DF783" s="177"/>
      <c r="DG783" s="177"/>
      <c r="DH783" s="177"/>
      <c r="DI783" s="177"/>
      <c r="DJ783" s="177"/>
      <c r="DK783" s="177"/>
      <c r="DL783" s="177"/>
      <c r="DM783" s="177"/>
      <c r="DN783" s="177"/>
      <c r="DO783" s="177"/>
      <c r="DP783" s="177"/>
      <c r="DQ783" s="172"/>
      <c r="DR783" s="172"/>
      <c r="DS783" s="172"/>
      <c r="DT783" s="172"/>
      <c r="DU783" s="172"/>
      <c r="DV783" s="196"/>
    </row>
    <row r="784" spans="85:126" x14ac:dyDescent="0.2">
      <c r="CG784" s="176"/>
      <c r="CH784" s="169"/>
      <c r="CI784" s="177"/>
      <c r="CJ784" s="177"/>
      <c r="CK784" s="177"/>
      <c r="CL784" s="177"/>
      <c r="CM784" s="177"/>
      <c r="CN784" s="177"/>
      <c r="CO784" s="177"/>
      <c r="CP784" s="177"/>
      <c r="CQ784" s="177"/>
      <c r="CR784" s="177"/>
      <c r="CS784" s="177"/>
      <c r="CT784" s="177"/>
      <c r="CU784" s="177"/>
      <c r="CV784" s="172"/>
      <c r="CW784" s="172"/>
      <c r="CX784" s="172"/>
      <c r="CY784" s="172"/>
      <c r="CZ784" s="172"/>
      <c r="DA784" s="196"/>
      <c r="DC784" s="169"/>
      <c r="DD784" s="177"/>
      <c r="DE784" s="177"/>
      <c r="DF784" s="177"/>
      <c r="DG784" s="177"/>
      <c r="DH784" s="177"/>
      <c r="DI784" s="177"/>
      <c r="DJ784" s="177"/>
      <c r="DK784" s="177"/>
      <c r="DL784" s="177"/>
      <c r="DM784" s="177"/>
      <c r="DN784" s="177"/>
      <c r="DO784" s="177"/>
      <c r="DP784" s="177"/>
      <c r="DQ784" s="172"/>
      <c r="DR784" s="172"/>
      <c r="DS784" s="172"/>
      <c r="DT784" s="172"/>
      <c r="DU784" s="172"/>
      <c r="DV784" s="196"/>
    </row>
    <row r="785" spans="85:126" x14ac:dyDescent="0.2">
      <c r="CG785" s="178"/>
      <c r="CH785" s="169"/>
      <c r="CI785" s="177"/>
      <c r="CJ785" s="177"/>
      <c r="CK785" s="177"/>
      <c r="CL785" s="177"/>
      <c r="CM785" s="177"/>
      <c r="CN785" s="177"/>
      <c r="CO785" s="177"/>
      <c r="CP785" s="177"/>
      <c r="CQ785" s="177"/>
      <c r="CR785" s="177"/>
      <c r="CS785" s="177"/>
      <c r="CT785" s="177"/>
      <c r="CU785" s="177"/>
      <c r="CV785" s="172"/>
      <c r="CW785" s="172"/>
      <c r="CX785" s="172"/>
      <c r="CY785" s="172"/>
      <c r="CZ785" s="172"/>
      <c r="DA785" s="196"/>
      <c r="DC785" s="169"/>
      <c r="DD785" s="177"/>
      <c r="DE785" s="177"/>
      <c r="DF785" s="177"/>
      <c r="DG785" s="177"/>
      <c r="DH785" s="177"/>
      <c r="DI785" s="177"/>
      <c r="DJ785" s="177"/>
      <c r="DK785" s="177"/>
      <c r="DL785" s="177"/>
      <c r="DM785" s="177"/>
      <c r="DN785" s="177"/>
      <c r="DO785" s="177"/>
      <c r="DP785" s="177"/>
      <c r="DQ785" s="172"/>
      <c r="DR785" s="172"/>
      <c r="DS785" s="172"/>
      <c r="DT785" s="172"/>
      <c r="DU785" s="172"/>
      <c r="DV785" s="196"/>
    </row>
    <row r="786" spans="85:126" x14ac:dyDescent="0.2">
      <c r="CG786" s="179"/>
      <c r="CH786" s="169"/>
      <c r="CI786" s="177"/>
      <c r="CJ786" s="177"/>
      <c r="CK786" s="177"/>
      <c r="CL786" s="177"/>
      <c r="CM786" s="177"/>
      <c r="CN786" s="177"/>
      <c r="CO786" s="177"/>
      <c r="CP786" s="177"/>
      <c r="CQ786" s="177"/>
      <c r="CR786" s="177"/>
      <c r="CS786" s="177"/>
      <c r="CT786" s="177"/>
      <c r="CU786" s="177"/>
      <c r="CV786" s="172"/>
      <c r="CW786" s="172"/>
      <c r="CX786" s="172"/>
      <c r="CY786" s="172"/>
      <c r="CZ786" s="172"/>
      <c r="DA786" s="196"/>
      <c r="DC786" s="169"/>
      <c r="DD786" s="177"/>
      <c r="DE786" s="177"/>
      <c r="DF786" s="177"/>
      <c r="DG786" s="177"/>
      <c r="DH786" s="177"/>
      <c r="DI786" s="177"/>
      <c r="DJ786" s="177"/>
      <c r="DK786" s="177"/>
      <c r="DL786" s="177"/>
      <c r="DM786" s="177"/>
      <c r="DN786" s="177"/>
      <c r="DO786" s="177"/>
      <c r="DP786" s="177"/>
      <c r="DQ786" s="172"/>
      <c r="DR786" s="172"/>
      <c r="DS786" s="172"/>
      <c r="DT786" s="172"/>
      <c r="DU786" s="172"/>
      <c r="DV786" s="196"/>
    </row>
    <row r="787" spans="85:126" x14ac:dyDescent="0.2">
      <c r="CG787" s="179"/>
      <c r="CH787" s="169"/>
      <c r="CI787" s="177"/>
      <c r="CJ787" s="177"/>
      <c r="CK787" s="177"/>
      <c r="CL787" s="177"/>
      <c r="CM787" s="177"/>
      <c r="CN787" s="177"/>
      <c r="CO787" s="177"/>
      <c r="CP787" s="177"/>
      <c r="CQ787" s="177"/>
      <c r="CR787" s="177"/>
      <c r="CS787" s="177"/>
      <c r="CT787" s="177"/>
      <c r="CU787" s="177"/>
      <c r="CV787" s="172"/>
      <c r="CW787" s="172"/>
      <c r="CX787" s="172"/>
      <c r="CY787" s="172"/>
      <c r="CZ787" s="172"/>
      <c r="DA787" s="196"/>
      <c r="DC787" s="169"/>
      <c r="DD787" s="177"/>
      <c r="DE787" s="177"/>
      <c r="DF787" s="177"/>
      <c r="DG787" s="177"/>
      <c r="DH787" s="177"/>
      <c r="DI787" s="177"/>
      <c r="DJ787" s="177"/>
      <c r="DK787" s="177"/>
      <c r="DL787" s="177"/>
      <c r="DM787" s="177"/>
      <c r="DN787" s="177"/>
      <c r="DO787" s="177"/>
      <c r="DP787" s="177"/>
      <c r="DQ787" s="172"/>
      <c r="DR787" s="172"/>
      <c r="DS787" s="172"/>
      <c r="DT787" s="172"/>
      <c r="DU787" s="172"/>
      <c r="DV787" s="196"/>
    </row>
    <row r="788" spans="85:126" x14ac:dyDescent="0.2">
      <c r="CG788" s="179"/>
      <c r="CH788" s="169"/>
      <c r="CI788" s="177"/>
      <c r="CJ788" s="177"/>
      <c r="CK788" s="177"/>
      <c r="CL788" s="177"/>
      <c r="CM788" s="177"/>
      <c r="CN788" s="177"/>
      <c r="CO788" s="177"/>
      <c r="CP788" s="177"/>
      <c r="CQ788" s="177"/>
      <c r="CR788" s="177"/>
      <c r="CS788" s="177"/>
      <c r="CT788" s="177"/>
      <c r="CU788" s="177"/>
      <c r="CV788" s="172"/>
      <c r="CW788" s="172"/>
      <c r="CX788" s="172"/>
      <c r="CY788" s="172"/>
      <c r="CZ788" s="172"/>
      <c r="DA788" s="196"/>
      <c r="DC788" s="169"/>
      <c r="DD788" s="177"/>
      <c r="DE788" s="177"/>
      <c r="DF788" s="177"/>
      <c r="DG788" s="177"/>
      <c r="DH788" s="177"/>
      <c r="DI788" s="177"/>
      <c r="DJ788" s="177"/>
      <c r="DK788" s="177"/>
      <c r="DL788" s="177"/>
      <c r="DM788" s="177"/>
      <c r="DN788" s="177"/>
      <c r="DO788" s="177"/>
      <c r="DP788" s="177"/>
      <c r="DQ788" s="172"/>
      <c r="DR788" s="172"/>
      <c r="DS788" s="172"/>
      <c r="DT788" s="172"/>
      <c r="DU788" s="172"/>
      <c r="DV788" s="196"/>
    </row>
    <row r="789" spans="85:126" x14ac:dyDescent="0.2">
      <c r="CG789" s="179"/>
      <c r="CH789" s="169"/>
      <c r="CI789" s="177"/>
      <c r="CJ789" s="177"/>
      <c r="CK789" s="177"/>
      <c r="CL789" s="177"/>
      <c r="CM789" s="177"/>
      <c r="CN789" s="177"/>
      <c r="CO789" s="177"/>
      <c r="CP789" s="177"/>
      <c r="CQ789" s="177"/>
      <c r="CR789" s="177"/>
      <c r="CS789" s="177"/>
      <c r="CT789" s="177"/>
      <c r="CU789" s="177"/>
      <c r="CV789" s="172"/>
      <c r="CW789" s="172"/>
      <c r="CX789" s="172"/>
      <c r="CY789" s="172"/>
      <c r="CZ789" s="172"/>
      <c r="DA789" s="196"/>
      <c r="DC789" s="169"/>
      <c r="DD789" s="177"/>
      <c r="DE789" s="177"/>
      <c r="DF789" s="177"/>
      <c r="DG789" s="177"/>
      <c r="DH789" s="177"/>
      <c r="DI789" s="177"/>
      <c r="DJ789" s="177"/>
      <c r="DK789" s="177"/>
      <c r="DL789" s="177"/>
      <c r="DM789" s="177"/>
      <c r="DN789" s="177"/>
      <c r="DO789" s="177"/>
      <c r="DP789" s="177"/>
      <c r="DQ789" s="172"/>
      <c r="DR789" s="172"/>
      <c r="DS789" s="172"/>
      <c r="DT789" s="172"/>
      <c r="DU789" s="172"/>
      <c r="DV789" s="196"/>
    </row>
    <row r="790" spans="85:126" x14ac:dyDescent="0.2">
      <c r="CG790" s="179"/>
      <c r="CH790" s="169"/>
      <c r="CI790" s="177"/>
      <c r="CJ790" s="177"/>
      <c r="CK790" s="177"/>
      <c r="CL790" s="177"/>
      <c r="CM790" s="177"/>
      <c r="CN790" s="177"/>
      <c r="CO790" s="177"/>
      <c r="CP790" s="177"/>
      <c r="CQ790" s="177"/>
      <c r="CR790" s="177"/>
      <c r="CS790" s="177"/>
      <c r="CT790" s="177"/>
      <c r="CU790" s="177"/>
      <c r="CV790" s="172"/>
      <c r="CW790" s="172"/>
      <c r="CX790" s="172"/>
      <c r="CY790" s="172"/>
      <c r="CZ790" s="172"/>
      <c r="DA790" s="196"/>
      <c r="DC790" s="169"/>
      <c r="DD790" s="177"/>
      <c r="DE790" s="177"/>
      <c r="DF790" s="177"/>
      <c r="DG790" s="177"/>
      <c r="DH790" s="177"/>
      <c r="DI790" s="177"/>
      <c r="DJ790" s="177"/>
      <c r="DK790" s="177"/>
      <c r="DL790" s="177"/>
      <c r="DM790" s="177"/>
      <c r="DN790" s="177"/>
      <c r="DO790" s="177"/>
      <c r="DP790" s="177"/>
      <c r="DQ790" s="172"/>
      <c r="DR790" s="172"/>
      <c r="DS790" s="172"/>
      <c r="DT790" s="172"/>
      <c r="DU790" s="172"/>
      <c r="DV790" s="196"/>
    </row>
    <row r="791" spans="85:126" x14ac:dyDescent="0.2">
      <c r="CG791" s="179"/>
      <c r="CH791" s="169"/>
      <c r="CI791" s="177"/>
      <c r="CJ791" s="177"/>
      <c r="CK791" s="177"/>
      <c r="CL791" s="177"/>
      <c r="CM791" s="177"/>
      <c r="CN791" s="177"/>
      <c r="CO791" s="177"/>
      <c r="CP791" s="177"/>
      <c r="CQ791" s="177"/>
      <c r="CR791" s="177"/>
      <c r="CS791" s="177"/>
      <c r="CT791" s="177"/>
      <c r="CU791" s="177"/>
      <c r="CV791" s="172"/>
      <c r="CW791" s="172"/>
      <c r="CX791" s="172"/>
      <c r="CY791" s="172"/>
      <c r="CZ791" s="172"/>
      <c r="DA791" s="196"/>
      <c r="DC791" s="169"/>
      <c r="DD791" s="177"/>
      <c r="DE791" s="177"/>
      <c r="DF791" s="177"/>
      <c r="DG791" s="177"/>
      <c r="DH791" s="177"/>
      <c r="DI791" s="177"/>
      <c r="DJ791" s="177"/>
      <c r="DK791" s="177"/>
      <c r="DL791" s="177"/>
      <c r="DM791" s="177"/>
      <c r="DN791" s="177"/>
      <c r="DO791" s="177"/>
      <c r="DP791" s="177"/>
      <c r="DQ791" s="172"/>
      <c r="DR791" s="172"/>
      <c r="DS791" s="172"/>
      <c r="DT791" s="172"/>
      <c r="DU791" s="172"/>
      <c r="DV791" s="196"/>
    </row>
    <row r="792" spans="85:126" x14ac:dyDescent="0.2">
      <c r="CG792" s="179"/>
      <c r="CH792" s="169"/>
      <c r="CI792" s="177"/>
      <c r="CJ792" s="177"/>
      <c r="CK792" s="177"/>
      <c r="CL792" s="177"/>
      <c r="CM792" s="177"/>
      <c r="CN792" s="177"/>
      <c r="CO792" s="177"/>
      <c r="CP792" s="177"/>
      <c r="CQ792" s="177"/>
      <c r="CR792" s="177"/>
      <c r="CS792" s="177"/>
      <c r="CT792" s="177"/>
      <c r="CU792" s="177"/>
      <c r="CV792" s="172"/>
      <c r="CW792" s="172"/>
      <c r="CX792" s="172"/>
      <c r="CY792" s="172"/>
      <c r="CZ792" s="172"/>
      <c r="DA792" s="196"/>
      <c r="DC792" s="169"/>
      <c r="DD792" s="177"/>
      <c r="DE792" s="177"/>
      <c r="DF792" s="177"/>
      <c r="DG792" s="177"/>
      <c r="DH792" s="177"/>
      <c r="DI792" s="177"/>
      <c r="DJ792" s="177"/>
      <c r="DK792" s="177"/>
      <c r="DL792" s="177"/>
      <c r="DM792" s="177"/>
      <c r="DN792" s="177"/>
      <c r="DO792" s="177"/>
      <c r="DP792" s="177"/>
      <c r="DQ792" s="172"/>
      <c r="DR792" s="172"/>
      <c r="DS792" s="172"/>
      <c r="DT792" s="172"/>
      <c r="DU792" s="172"/>
      <c r="DV792" s="196"/>
    </row>
    <row r="793" spans="85:126" x14ac:dyDescent="0.2">
      <c r="CG793" s="179"/>
      <c r="CH793" s="197"/>
      <c r="CI793" s="180"/>
      <c r="CJ793" s="180"/>
      <c r="CK793" s="180"/>
      <c r="CL793" s="180"/>
      <c r="CM793" s="180"/>
      <c r="CN793" s="180"/>
      <c r="CO793" s="180"/>
      <c r="CP793" s="180"/>
      <c r="CQ793" s="180"/>
      <c r="CR793" s="180"/>
      <c r="CS793" s="180"/>
      <c r="CT793" s="180"/>
      <c r="CU793" s="180"/>
      <c r="CV793" s="173"/>
      <c r="CW793" s="173"/>
      <c r="CX793" s="173"/>
      <c r="CY793" s="173"/>
      <c r="CZ793" s="173"/>
      <c r="DA793" s="198"/>
      <c r="DC793" s="197"/>
      <c r="DD793" s="180"/>
      <c r="DE793" s="180"/>
      <c r="DF793" s="180"/>
      <c r="DG793" s="180"/>
      <c r="DH793" s="180"/>
      <c r="DI793" s="180"/>
      <c r="DJ793" s="180"/>
      <c r="DK793" s="180"/>
      <c r="DL793" s="180"/>
      <c r="DM793" s="180"/>
      <c r="DN793" s="180"/>
      <c r="DO793" s="180"/>
      <c r="DP793" s="180"/>
      <c r="DQ793" s="173"/>
      <c r="DR793" s="173"/>
      <c r="DS793" s="173"/>
      <c r="DT793" s="173"/>
      <c r="DU793" s="173"/>
      <c r="DV793" s="198"/>
    </row>
    <row r="794" spans="85:126" x14ac:dyDescent="0.2">
      <c r="CG794" s="179"/>
      <c r="CH794" s="197"/>
      <c r="CI794" s="180"/>
      <c r="CJ794" s="180"/>
      <c r="CK794" s="180"/>
      <c r="CL794" s="180"/>
      <c r="CM794" s="180"/>
      <c r="CN794" s="180"/>
      <c r="CO794" s="180"/>
      <c r="CP794" s="180"/>
      <c r="CQ794" s="180"/>
      <c r="CR794" s="180"/>
      <c r="CS794" s="180"/>
      <c r="CT794" s="180"/>
      <c r="CU794" s="180"/>
      <c r="CV794" s="173"/>
      <c r="CW794" s="173"/>
      <c r="CX794" s="173"/>
      <c r="CY794" s="173"/>
      <c r="CZ794" s="173"/>
      <c r="DA794" s="198"/>
      <c r="DC794" s="197"/>
      <c r="DD794" s="180"/>
      <c r="DE794" s="180"/>
      <c r="DF794" s="180"/>
      <c r="DG794" s="180"/>
      <c r="DH794" s="180"/>
      <c r="DI794" s="180"/>
      <c r="DJ794" s="180"/>
      <c r="DK794" s="180"/>
      <c r="DL794" s="180"/>
      <c r="DM794" s="180"/>
      <c r="DN794" s="180"/>
      <c r="DO794" s="180"/>
      <c r="DP794" s="180"/>
      <c r="DQ794" s="173"/>
      <c r="DR794" s="173"/>
      <c r="DS794" s="173"/>
      <c r="DT794" s="173"/>
      <c r="DU794" s="173"/>
      <c r="DV794" s="198"/>
    </row>
    <row r="795" spans="85:126" x14ac:dyDescent="0.2">
      <c r="CG795" s="179"/>
      <c r="CH795" s="197"/>
      <c r="CI795" s="180"/>
      <c r="CJ795" s="180"/>
      <c r="CK795" s="180"/>
      <c r="CL795" s="180"/>
      <c r="CM795" s="180"/>
      <c r="CN795" s="180"/>
      <c r="CO795" s="180"/>
      <c r="CP795" s="180"/>
      <c r="CQ795" s="180"/>
      <c r="CR795" s="180"/>
      <c r="CS795" s="180"/>
      <c r="CT795" s="180"/>
      <c r="CU795" s="180"/>
      <c r="CV795" s="173"/>
      <c r="CW795" s="173"/>
      <c r="CX795" s="173"/>
      <c r="CY795" s="173"/>
      <c r="CZ795" s="173"/>
      <c r="DA795" s="198"/>
      <c r="DC795" s="197"/>
      <c r="DD795" s="180"/>
      <c r="DE795" s="180"/>
      <c r="DF795" s="180"/>
      <c r="DG795" s="180"/>
      <c r="DH795" s="180"/>
      <c r="DI795" s="180"/>
      <c r="DJ795" s="180"/>
      <c r="DK795" s="180"/>
      <c r="DL795" s="180"/>
      <c r="DM795" s="180"/>
      <c r="DN795" s="180"/>
      <c r="DO795" s="180"/>
      <c r="DP795" s="180"/>
      <c r="DQ795" s="173"/>
      <c r="DR795" s="173"/>
      <c r="DS795" s="173"/>
      <c r="DT795" s="173"/>
      <c r="DU795" s="173"/>
      <c r="DV795" s="198"/>
    </row>
    <row r="796" spans="85:126" x14ac:dyDescent="0.2">
      <c r="CG796" s="179"/>
      <c r="CH796" s="197"/>
      <c r="CI796" s="180"/>
      <c r="CJ796" s="180"/>
      <c r="CK796" s="180"/>
      <c r="CL796" s="180"/>
      <c r="CM796" s="180"/>
      <c r="CN796" s="180"/>
      <c r="CO796" s="180"/>
      <c r="CP796" s="180"/>
      <c r="CQ796" s="180"/>
      <c r="CR796" s="180"/>
      <c r="CS796" s="180"/>
      <c r="CT796" s="180"/>
      <c r="CU796" s="180"/>
      <c r="CV796" s="173"/>
      <c r="CW796" s="173"/>
      <c r="CX796" s="173"/>
      <c r="CY796" s="173"/>
      <c r="CZ796" s="173"/>
      <c r="DA796" s="198"/>
      <c r="DC796" s="197"/>
      <c r="DD796" s="180"/>
      <c r="DE796" s="180"/>
      <c r="DF796" s="180"/>
      <c r="DG796" s="180"/>
      <c r="DH796" s="180"/>
      <c r="DI796" s="180"/>
      <c r="DJ796" s="180"/>
      <c r="DK796" s="180"/>
      <c r="DL796" s="180"/>
      <c r="DM796" s="180"/>
      <c r="DN796" s="180"/>
      <c r="DO796" s="180"/>
      <c r="DP796" s="180"/>
      <c r="DQ796" s="173"/>
      <c r="DR796" s="173"/>
      <c r="DS796" s="173"/>
      <c r="DT796" s="173"/>
      <c r="DU796" s="173"/>
      <c r="DV796" s="198"/>
    </row>
    <row r="797" spans="85:126" x14ac:dyDescent="0.2">
      <c r="CG797" s="179"/>
      <c r="CH797" s="197"/>
      <c r="CI797" s="180"/>
      <c r="CJ797" s="180"/>
      <c r="CK797" s="180"/>
      <c r="CL797" s="180"/>
      <c r="CM797" s="180"/>
      <c r="CN797" s="180"/>
      <c r="CO797" s="180"/>
      <c r="CP797" s="180"/>
      <c r="CQ797" s="180"/>
      <c r="CR797" s="180"/>
      <c r="CS797" s="180"/>
      <c r="CT797" s="180"/>
      <c r="CU797" s="180"/>
      <c r="CV797" s="173"/>
      <c r="CW797" s="173"/>
      <c r="CX797" s="173"/>
      <c r="CY797" s="173"/>
      <c r="CZ797" s="173"/>
      <c r="DA797" s="198"/>
      <c r="DC797" s="197"/>
      <c r="DD797" s="180"/>
      <c r="DE797" s="180"/>
      <c r="DF797" s="180"/>
      <c r="DG797" s="180"/>
      <c r="DH797" s="180"/>
      <c r="DI797" s="180"/>
      <c r="DJ797" s="180"/>
      <c r="DK797" s="180"/>
      <c r="DL797" s="180"/>
      <c r="DM797" s="180"/>
      <c r="DN797" s="180"/>
      <c r="DO797" s="180"/>
      <c r="DP797" s="180"/>
      <c r="DQ797" s="173"/>
      <c r="DR797" s="173"/>
      <c r="DS797" s="173"/>
      <c r="DT797" s="173"/>
      <c r="DU797" s="173"/>
      <c r="DV797" s="198"/>
    </row>
    <row r="798" spans="85:126" x14ac:dyDescent="0.2">
      <c r="CG798" s="176"/>
      <c r="CH798" s="197"/>
      <c r="CI798" s="180"/>
      <c r="CJ798" s="180"/>
      <c r="CK798" s="180"/>
      <c r="CL798" s="180"/>
      <c r="CM798" s="180"/>
      <c r="CN798" s="180"/>
      <c r="CO798" s="180"/>
      <c r="CP798" s="180"/>
      <c r="CQ798" s="180"/>
      <c r="CR798" s="180"/>
      <c r="CS798" s="180"/>
      <c r="CT798" s="180"/>
      <c r="CU798" s="180"/>
      <c r="CV798" s="173"/>
      <c r="CW798" s="173"/>
      <c r="CX798" s="173"/>
      <c r="CY798" s="173"/>
      <c r="CZ798" s="173"/>
      <c r="DA798" s="198"/>
      <c r="DC798" s="197"/>
      <c r="DD798" s="180"/>
      <c r="DE798" s="180"/>
      <c r="DF798" s="180"/>
      <c r="DG798" s="180"/>
      <c r="DH798" s="180"/>
      <c r="DI798" s="180"/>
      <c r="DJ798" s="180"/>
      <c r="DK798" s="180"/>
      <c r="DL798" s="180"/>
      <c r="DM798" s="180"/>
      <c r="DN798" s="180"/>
      <c r="DO798" s="180"/>
      <c r="DP798" s="180"/>
      <c r="DQ798" s="173"/>
      <c r="DR798" s="173"/>
      <c r="DS798" s="173"/>
      <c r="DT798" s="173"/>
      <c r="DU798" s="173"/>
      <c r="DV798" s="198"/>
    </row>
    <row r="799" spans="85:126" x14ac:dyDescent="0.2">
      <c r="CG799" s="176"/>
      <c r="CH799" s="197"/>
      <c r="CI799" s="180"/>
      <c r="CJ799" s="180"/>
      <c r="CK799" s="180"/>
      <c r="CL799" s="180"/>
      <c r="CM799" s="180"/>
      <c r="CN799" s="180"/>
      <c r="CO799" s="180"/>
      <c r="CP799" s="180"/>
      <c r="CQ799" s="180"/>
      <c r="CR799" s="180"/>
      <c r="CS799" s="180"/>
      <c r="CT799" s="180"/>
      <c r="CU799" s="180"/>
      <c r="CV799" s="173"/>
      <c r="CW799" s="173"/>
      <c r="CX799" s="173"/>
      <c r="CY799" s="173"/>
      <c r="CZ799" s="173"/>
      <c r="DA799" s="198"/>
      <c r="DC799" s="197"/>
      <c r="DD799" s="180"/>
      <c r="DE799" s="180"/>
      <c r="DF799" s="180"/>
      <c r="DG799" s="180"/>
      <c r="DH799" s="180"/>
      <c r="DI799" s="180"/>
      <c r="DJ799" s="180"/>
      <c r="DK799" s="180"/>
      <c r="DL799" s="180"/>
      <c r="DM799" s="180"/>
      <c r="DN799" s="180"/>
      <c r="DO799" s="180"/>
      <c r="DP799" s="180"/>
      <c r="DQ799" s="173"/>
      <c r="DR799" s="173"/>
      <c r="DS799" s="173"/>
      <c r="DT799" s="173"/>
      <c r="DU799" s="173"/>
      <c r="DV799" s="198"/>
    </row>
    <row r="800" spans="85:126" x14ac:dyDescent="0.2">
      <c r="CG800" s="176"/>
      <c r="CH800" s="199"/>
      <c r="CI800" s="200"/>
      <c r="CJ800" s="200"/>
      <c r="CK800" s="200"/>
      <c r="CL800" s="200"/>
      <c r="CM800" s="200"/>
      <c r="CN800" s="200"/>
      <c r="CO800" s="200"/>
      <c r="CP800" s="200"/>
      <c r="CQ800" s="201"/>
      <c r="CR800" s="202"/>
      <c r="CS800" s="200"/>
      <c r="CT800" s="200"/>
      <c r="CU800" s="200"/>
      <c r="CV800" s="203"/>
      <c r="CW800" s="203"/>
      <c r="CX800" s="203"/>
      <c r="CY800" s="203"/>
      <c r="CZ800" s="203"/>
      <c r="DA800" s="204"/>
      <c r="DC800" s="199"/>
      <c r="DD800" s="200"/>
      <c r="DE800" s="200"/>
      <c r="DF800" s="200"/>
      <c r="DG800" s="200"/>
      <c r="DH800" s="200"/>
      <c r="DI800" s="200"/>
      <c r="DJ800" s="200"/>
      <c r="DK800" s="200"/>
      <c r="DL800" s="200"/>
      <c r="DM800" s="200"/>
      <c r="DN800" s="200"/>
      <c r="DO800" s="200"/>
      <c r="DP800" s="200"/>
      <c r="DQ800" s="203"/>
      <c r="DR800" s="203"/>
      <c r="DS800" s="203"/>
      <c r="DT800" s="203"/>
      <c r="DU800" s="203"/>
      <c r="DV800" s="204"/>
    </row>
    <row r="801" spans="85:126" x14ac:dyDescent="0.2">
      <c r="CG801" s="176">
        <v>41</v>
      </c>
      <c r="CH801" s="192"/>
      <c r="CI801" s="193"/>
      <c r="CJ801" s="193"/>
      <c r="CK801" s="193"/>
      <c r="CL801" s="193"/>
      <c r="CM801" s="193"/>
      <c r="CN801" s="193"/>
      <c r="CO801" s="193"/>
      <c r="CP801" s="193"/>
      <c r="CQ801" s="193"/>
      <c r="CR801" s="193"/>
      <c r="CS801" s="193"/>
      <c r="CT801" s="193"/>
      <c r="CU801" s="193"/>
      <c r="CV801" s="194"/>
      <c r="CW801" s="194"/>
      <c r="CX801" s="194"/>
      <c r="CY801" s="194"/>
      <c r="CZ801" s="194"/>
      <c r="DA801" s="195"/>
      <c r="DC801" s="192"/>
      <c r="DD801" s="193"/>
      <c r="DE801" s="193"/>
      <c r="DF801" s="193"/>
      <c r="DG801" s="193"/>
      <c r="DH801" s="193"/>
      <c r="DI801" s="193"/>
      <c r="DJ801" s="193"/>
      <c r="DK801" s="193"/>
      <c r="DL801" s="193"/>
      <c r="DM801" s="193"/>
      <c r="DN801" s="193"/>
      <c r="DO801" s="193"/>
      <c r="DP801" s="193"/>
      <c r="DQ801" s="194"/>
      <c r="DR801" s="194"/>
      <c r="DS801" s="194"/>
      <c r="DT801" s="194"/>
      <c r="DU801" s="194"/>
      <c r="DV801" s="195"/>
    </row>
    <row r="802" spans="85:126" x14ac:dyDescent="0.2">
      <c r="CG802" s="176"/>
      <c r="CH802" s="169"/>
      <c r="CI802" s="177"/>
      <c r="CJ802" s="177"/>
      <c r="CK802" s="177"/>
      <c r="CL802" s="177"/>
      <c r="CM802" s="177"/>
      <c r="CN802" s="177"/>
      <c r="CO802" s="177"/>
      <c r="CP802" s="177"/>
      <c r="CQ802" s="177"/>
      <c r="CR802" s="177"/>
      <c r="CS802" s="177"/>
      <c r="CT802" s="177"/>
      <c r="CU802" s="177"/>
      <c r="CV802" s="172"/>
      <c r="CW802" s="172"/>
      <c r="CX802" s="172"/>
      <c r="CY802" s="172"/>
      <c r="CZ802" s="172"/>
      <c r="DA802" s="196"/>
      <c r="DC802" s="169"/>
      <c r="DD802" s="177"/>
      <c r="DE802" s="177"/>
      <c r="DF802" s="177"/>
      <c r="DG802" s="177"/>
      <c r="DH802" s="177"/>
      <c r="DI802" s="177"/>
      <c r="DJ802" s="177"/>
      <c r="DK802" s="177"/>
      <c r="DL802" s="177"/>
      <c r="DM802" s="177"/>
      <c r="DN802" s="177"/>
      <c r="DO802" s="177"/>
      <c r="DP802" s="177"/>
      <c r="DQ802" s="172"/>
      <c r="DR802" s="172"/>
      <c r="DS802" s="172"/>
      <c r="DT802" s="172"/>
      <c r="DU802" s="172"/>
      <c r="DV802" s="196"/>
    </row>
    <row r="803" spans="85:126" x14ac:dyDescent="0.2">
      <c r="CG803" s="131"/>
      <c r="CH803" s="169"/>
      <c r="CI803" s="177"/>
      <c r="CJ803" s="177"/>
      <c r="CK803" s="177"/>
      <c r="CL803" s="177"/>
      <c r="CM803" s="177"/>
      <c r="CN803" s="177"/>
      <c r="CO803" s="177"/>
      <c r="CP803" s="177"/>
      <c r="CQ803" s="177"/>
      <c r="CR803" s="177"/>
      <c r="CS803" s="177"/>
      <c r="CT803" s="177"/>
      <c r="CU803" s="177"/>
      <c r="CV803" s="172"/>
      <c r="CW803" s="172"/>
      <c r="CX803" s="172"/>
      <c r="CY803" s="172"/>
      <c r="CZ803" s="172"/>
      <c r="DA803" s="196"/>
      <c r="DC803" s="169"/>
      <c r="DD803" s="177"/>
      <c r="DE803" s="177"/>
      <c r="DF803" s="177"/>
      <c r="DG803" s="177"/>
      <c r="DH803" s="177"/>
      <c r="DI803" s="177"/>
      <c r="DJ803" s="177"/>
      <c r="DK803" s="177"/>
      <c r="DL803" s="177"/>
      <c r="DM803" s="177"/>
      <c r="DN803" s="177"/>
      <c r="DO803" s="177"/>
      <c r="DP803" s="177"/>
      <c r="DQ803" s="172"/>
      <c r="DR803" s="172"/>
      <c r="DS803" s="172"/>
      <c r="DT803" s="172"/>
      <c r="DU803" s="172"/>
      <c r="DV803" s="196"/>
    </row>
    <row r="804" spans="85:126" x14ac:dyDescent="0.2">
      <c r="CG804" s="176"/>
      <c r="CH804" s="169"/>
      <c r="CI804" s="177"/>
      <c r="CJ804" s="177"/>
      <c r="CK804" s="177"/>
      <c r="CL804" s="177"/>
      <c r="CM804" s="177"/>
      <c r="CN804" s="177"/>
      <c r="CO804" s="177"/>
      <c r="CP804" s="177"/>
      <c r="CQ804" s="177"/>
      <c r="CR804" s="177"/>
      <c r="CS804" s="177"/>
      <c r="CT804" s="177"/>
      <c r="CU804" s="177"/>
      <c r="CV804" s="172"/>
      <c r="CW804" s="172"/>
      <c r="CX804" s="172"/>
      <c r="CY804" s="172"/>
      <c r="CZ804" s="172"/>
      <c r="DA804" s="196"/>
      <c r="DC804" s="169"/>
      <c r="DD804" s="177"/>
      <c r="DE804" s="177"/>
      <c r="DF804" s="177"/>
      <c r="DG804" s="177"/>
      <c r="DH804" s="177"/>
      <c r="DI804" s="177"/>
      <c r="DJ804" s="177"/>
      <c r="DK804" s="177"/>
      <c r="DL804" s="177"/>
      <c r="DM804" s="177"/>
      <c r="DN804" s="177"/>
      <c r="DO804" s="177"/>
      <c r="DP804" s="177"/>
      <c r="DQ804" s="172"/>
      <c r="DR804" s="172"/>
      <c r="DS804" s="172"/>
      <c r="DT804" s="172"/>
      <c r="DU804" s="172"/>
      <c r="DV804" s="196"/>
    </row>
    <row r="805" spans="85:126" x14ac:dyDescent="0.2">
      <c r="CG805" s="178"/>
      <c r="CH805" s="169"/>
      <c r="CI805" s="177"/>
      <c r="CJ805" s="177"/>
      <c r="CK805" s="177"/>
      <c r="CL805" s="177"/>
      <c r="CM805" s="177"/>
      <c r="CN805" s="177"/>
      <c r="CO805" s="177"/>
      <c r="CP805" s="177"/>
      <c r="CQ805" s="177"/>
      <c r="CR805" s="177"/>
      <c r="CS805" s="177"/>
      <c r="CT805" s="177"/>
      <c r="CU805" s="177"/>
      <c r="CV805" s="172"/>
      <c r="CW805" s="172"/>
      <c r="CX805" s="172"/>
      <c r="CY805" s="172"/>
      <c r="CZ805" s="172"/>
      <c r="DA805" s="196"/>
      <c r="DC805" s="169"/>
      <c r="DD805" s="177"/>
      <c r="DE805" s="177"/>
      <c r="DF805" s="177"/>
      <c r="DG805" s="177"/>
      <c r="DH805" s="177"/>
      <c r="DI805" s="177"/>
      <c r="DJ805" s="177"/>
      <c r="DK805" s="177"/>
      <c r="DL805" s="177"/>
      <c r="DM805" s="177"/>
      <c r="DN805" s="177"/>
      <c r="DO805" s="177"/>
      <c r="DP805" s="177"/>
      <c r="DQ805" s="172"/>
      <c r="DR805" s="172"/>
      <c r="DS805" s="172"/>
      <c r="DT805" s="172"/>
      <c r="DU805" s="172"/>
      <c r="DV805" s="196"/>
    </row>
    <row r="806" spans="85:126" x14ac:dyDescent="0.2">
      <c r="CG806" s="179"/>
      <c r="CH806" s="169"/>
      <c r="CI806" s="177"/>
      <c r="CJ806" s="177"/>
      <c r="CK806" s="177"/>
      <c r="CL806" s="177"/>
      <c r="CM806" s="177"/>
      <c r="CN806" s="177"/>
      <c r="CO806" s="177"/>
      <c r="CP806" s="177"/>
      <c r="CQ806" s="177"/>
      <c r="CR806" s="177"/>
      <c r="CS806" s="177"/>
      <c r="CT806" s="177"/>
      <c r="CU806" s="177"/>
      <c r="CV806" s="172"/>
      <c r="CW806" s="172"/>
      <c r="CX806" s="172"/>
      <c r="CY806" s="172"/>
      <c r="CZ806" s="172"/>
      <c r="DA806" s="196"/>
      <c r="DC806" s="169"/>
      <c r="DD806" s="177"/>
      <c r="DE806" s="177"/>
      <c r="DF806" s="177"/>
      <c r="DG806" s="177"/>
      <c r="DH806" s="177"/>
      <c r="DI806" s="177"/>
      <c r="DJ806" s="177"/>
      <c r="DK806" s="177"/>
      <c r="DL806" s="177"/>
      <c r="DM806" s="177"/>
      <c r="DN806" s="177"/>
      <c r="DO806" s="177"/>
      <c r="DP806" s="177"/>
      <c r="DQ806" s="172"/>
      <c r="DR806" s="172"/>
      <c r="DS806" s="172"/>
      <c r="DT806" s="172"/>
      <c r="DU806" s="172"/>
      <c r="DV806" s="196"/>
    </row>
    <row r="807" spans="85:126" x14ac:dyDescent="0.2">
      <c r="CG807" s="179"/>
      <c r="CH807" s="169"/>
      <c r="CI807" s="177"/>
      <c r="CJ807" s="177"/>
      <c r="CK807" s="177"/>
      <c r="CL807" s="177"/>
      <c r="CM807" s="177"/>
      <c r="CN807" s="177"/>
      <c r="CO807" s="177"/>
      <c r="CP807" s="177"/>
      <c r="CQ807" s="177"/>
      <c r="CR807" s="177"/>
      <c r="CS807" s="177"/>
      <c r="CT807" s="177"/>
      <c r="CU807" s="177"/>
      <c r="CV807" s="172"/>
      <c r="CW807" s="172"/>
      <c r="CX807" s="172"/>
      <c r="CY807" s="172"/>
      <c r="CZ807" s="172"/>
      <c r="DA807" s="196"/>
      <c r="DC807" s="169"/>
      <c r="DD807" s="177"/>
      <c r="DE807" s="177"/>
      <c r="DF807" s="177"/>
      <c r="DG807" s="177"/>
      <c r="DH807" s="177"/>
      <c r="DI807" s="177"/>
      <c r="DJ807" s="177"/>
      <c r="DK807" s="177"/>
      <c r="DL807" s="177"/>
      <c r="DM807" s="177"/>
      <c r="DN807" s="177"/>
      <c r="DO807" s="177"/>
      <c r="DP807" s="177"/>
      <c r="DQ807" s="172"/>
      <c r="DR807" s="172"/>
      <c r="DS807" s="172"/>
      <c r="DT807" s="172"/>
      <c r="DU807" s="172"/>
      <c r="DV807" s="196"/>
    </row>
    <row r="808" spans="85:126" x14ac:dyDescent="0.2">
      <c r="CG808" s="179"/>
      <c r="CH808" s="169"/>
      <c r="CI808" s="177"/>
      <c r="CJ808" s="177"/>
      <c r="CK808" s="177"/>
      <c r="CL808" s="177"/>
      <c r="CM808" s="177"/>
      <c r="CN808" s="177"/>
      <c r="CO808" s="177"/>
      <c r="CP808" s="177"/>
      <c r="CQ808" s="177"/>
      <c r="CR808" s="177"/>
      <c r="CS808" s="177"/>
      <c r="CT808" s="177"/>
      <c r="CU808" s="177"/>
      <c r="CV808" s="172"/>
      <c r="CW808" s="172"/>
      <c r="CX808" s="172"/>
      <c r="CY808" s="172"/>
      <c r="CZ808" s="172"/>
      <c r="DA808" s="196"/>
      <c r="DC808" s="169"/>
      <c r="DD808" s="177"/>
      <c r="DE808" s="177"/>
      <c r="DF808" s="177"/>
      <c r="DG808" s="177"/>
      <c r="DH808" s="177"/>
      <c r="DI808" s="177"/>
      <c r="DJ808" s="177"/>
      <c r="DK808" s="177"/>
      <c r="DL808" s="177"/>
      <c r="DM808" s="177"/>
      <c r="DN808" s="177"/>
      <c r="DO808" s="177"/>
      <c r="DP808" s="177"/>
      <c r="DQ808" s="172"/>
      <c r="DR808" s="172"/>
      <c r="DS808" s="172"/>
      <c r="DT808" s="172"/>
      <c r="DU808" s="172"/>
      <c r="DV808" s="196"/>
    </row>
    <row r="809" spans="85:126" x14ac:dyDescent="0.2">
      <c r="CG809" s="179"/>
      <c r="CH809" s="169"/>
      <c r="CI809" s="177"/>
      <c r="CJ809" s="177"/>
      <c r="CK809" s="177"/>
      <c r="CL809" s="177"/>
      <c r="CM809" s="177"/>
      <c r="CN809" s="177"/>
      <c r="CO809" s="177"/>
      <c r="CP809" s="177"/>
      <c r="CQ809" s="177"/>
      <c r="CR809" s="177"/>
      <c r="CS809" s="177"/>
      <c r="CT809" s="177"/>
      <c r="CU809" s="177"/>
      <c r="CV809" s="172"/>
      <c r="CW809" s="172"/>
      <c r="CX809" s="172"/>
      <c r="CY809" s="172"/>
      <c r="CZ809" s="172"/>
      <c r="DA809" s="196"/>
      <c r="DC809" s="169"/>
      <c r="DD809" s="177"/>
      <c r="DE809" s="177"/>
      <c r="DF809" s="177"/>
      <c r="DG809" s="177"/>
      <c r="DH809" s="177"/>
      <c r="DI809" s="177"/>
      <c r="DJ809" s="177"/>
      <c r="DK809" s="177"/>
      <c r="DL809" s="177"/>
      <c r="DM809" s="177"/>
      <c r="DN809" s="177"/>
      <c r="DO809" s="177"/>
      <c r="DP809" s="177"/>
      <c r="DQ809" s="172"/>
      <c r="DR809" s="172"/>
      <c r="DS809" s="172"/>
      <c r="DT809" s="172"/>
      <c r="DU809" s="172"/>
      <c r="DV809" s="196"/>
    </row>
    <row r="810" spans="85:126" x14ac:dyDescent="0.2">
      <c r="CG810" s="179"/>
      <c r="CH810" s="169"/>
      <c r="CI810" s="177"/>
      <c r="CJ810" s="177"/>
      <c r="CK810" s="177"/>
      <c r="CL810" s="177"/>
      <c r="CM810" s="177"/>
      <c r="CN810" s="177"/>
      <c r="CO810" s="177"/>
      <c r="CP810" s="177"/>
      <c r="CQ810" s="177"/>
      <c r="CR810" s="177"/>
      <c r="CS810" s="177"/>
      <c r="CT810" s="177"/>
      <c r="CU810" s="177"/>
      <c r="CV810" s="172"/>
      <c r="CW810" s="172"/>
      <c r="CX810" s="172"/>
      <c r="CY810" s="172"/>
      <c r="CZ810" s="172"/>
      <c r="DA810" s="196"/>
      <c r="DC810" s="169"/>
      <c r="DD810" s="177"/>
      <c r="DE810" s="177"/>
      <c r="DF810" s="177"/>
      <c r="DG810" s="177"/>
      <c r="DH810" s="177"/>
      <c r="DI810" s="177"/>
      <c r="DJ810" s="177"/>
      <c r="DK810" s="177"/>
      <c r="DL810" s="177"/>
      <c r="DM810" s="177"/>
      <c r="DN810" s="177"/>
      <c r="DO810" s="177"/>
      <c r="DP810" s="177"/>
      <c r="DQ810" s="172"/>
      <c r="DR810" s="172"/>
      <c r="DS810" s="172"/>
      <c r="DT810" s="172"/>
      <c r="DU810" s="172"/>
      <c r="DV810" s="196"/>
    </row>
    <row r="811" spans="85:126" x14ac:dyDescent="0.2">
      <c r="CG811" s="179"/>
      <c r="CH811" s="169"/>
      <c r="CI811" s="177"/>
      <c r="CJ811" s="177"/>
      <c r="CK811" s="177"/>
      <c r="CL811" s="177"/>
      <c r="CM811" s="177"/>
      <c r="CN811" s="177"/>
      <c r="CO811" s="177"/>
      <c r="CP811" s="177"/>
      <c r="CQ811" s="177"/>
      <c r="CR811" s="177"/>
      <c r="CS811" s="177"/>
      <c r="CT811" s="177"/>
      <c r="CU811" s="177"/>
      <c r="CV811" s="172"/>
      <c r="CW811" s="172"/>
      <c r="CX811" s="172"/>
      <c r="CY811" s="172"/>
      <c r="CZ811" s="172"/>
      <c r="DA811" s="196"/>
      <c r="DC811" s="169"/>
      <c r="DD811" s="177"/>
      <c r="DE811" s="177"/>
      <c r="DF811" s="177"/>
      <c r="DG811" s="177"/>
      <c r="DH811" s="177"/>
      <c r="DI811" s="177"/>
      <c r="DJ811" s="177"/>
      <c r="DK811" s="177"/>
      <c r="DL811" s="177"/>
      <c r="DM811" s="177"/>
      <c r="DN811" s="177"/>
      <c r="DO811" s="177"/>
      <c r="DP811" s="177"/>
      <c r="DQ811" s="172"/>
      <c r="DR811" s="172"/>
      <c r="DS811" s="172"/>
      <c r="DT811" s="172"/>
      <c r="DU811" s="172"/>
      <c r="DV811" s="196"/>
    </row>
    <row r="812" spans="85:126" x14ac:dyDescent="0.2">
      <c r="CG812" s="179"/>
      <c r="CH812" s="169"/>
      <c r="CI812" s="177"/>
      <c r="CJ812" s="177"/>
      <c r="CK812" s="177"/>
      <c r="CL812" s="177"/>
      <c r="CM812" s="177"/>
      <c r="CN812" s="177"/>
      <c r="CO812" s="177"/>
      <c r="CP812" s="177"/>
      <c r="CQ812" s="177"/>
      <c r="CR812" s="177"/>
      <c r="CS812" s="177"/>
      <c r="CT812" s="177"/>
      <c r="CU812" s="177"/>
      <c r="CV812" s="172"/>
      <c r="CW812" s="172"/>
      <c r="CX812" s="172"/>
      <c r="CY812" s="172"/>
      <c r="CZ812" s="172"/>
      <c r="DA812" s="196"/>
      <c r="DC812" s="169"/>
      <c r="DD812" s="177"/>
      <c r="DE812" s="177"/>
      <c r="DF812" s="177"/>
      <c r="DG812" s="177"/>
      <c r="DH812" s="177"/>
      <c r="DI812" s="177"/>
      <c r="DJ812" s="177"/>
      <c r="DK812" s="177"/>
      <c r="DL812" s="177"/>
      <c r="DM812" s="177"/>
      <c r="DN812" s="177"/>
      <c r="DO812" s="177"/>
      <c r="DP812" s="177"/>
      <c r="DQ812" s="172"/>
      <c r="DR812" s="172"/>
      <c r="DS812" s="172"/>
      <c r="DT812" s="172"/>
      <c r="DU812" s="172"/>
      <c r="DV812" s="196"/>
    </row>
    <row r="813" spans="85:126" x14ac:dyDescent="0.2">
      <c r="CG813" s="179"/>
      <c r="CH813" s="197"/>
      <c r="CI813" s="180"/>
      <c r="CJ813" s="180"/>
      <c r="CK813" s="180"/>
      <c r="CL813" s="180"/>
      <c r="CM813" s="180"/>
      <c r="CN813" s="180"/>
      <c r="CO813" s="180"/>
      <c r="CP813" s="180"/>
      <c r="CQ813" s="180"/>
      <c r="CR813" s="180"/>
      <c r="CS813" s="180"/>
      <c r="CT813" s="180"/>
      <c r="CU813" s="180"/>
      <c r="CV813" s="173"/>
      <c r="CW813" s="173"/>
      <c r="CX813" s="173"/>
      <c r="CY813" s="173"/>
      <c r="CZ813" s="173"/>
      <c r="DA813" s="198"/>
      <c r="DC813" s="197"/>
      <c r="DD813" s="180"/>
      <c r="DE813" s="180"/>
      <c r="DF813" s="180"/>
      <c r="DG813" s="180"/>
      <c r="DH813" s="180"/>
      <c r="DI813" s="180"/>
      <c r="DJ813" s="180"/>
      <c r="DK813" s="180"/>
      <c r="DL813" s="180"/>
      <c r="DM813" s="180"/>
      <c r="DN813" s="180"/>
      <c r="DO813" s="180"/>
      <c r="DP813" s="180"/>
      <c r="DQ813" s="173"/>
      <c r="DR813" s="173"/>
      <c r="DS813" s="173"/>
      <c r="DT813" s="173"/>
      <c r="DU813" s="173"/>
      <c r="DV813" s="198"/>
    </row>
    <row r="814" spans="85:126" x14ac:dyDescent="0.2">
      <c r="CG814" s="179"/>
      <c r="CH814" s="197"/>
      <c r="CI814" s="180"/>
      <c r="CJ814" s="180"/>
      <c r="CK814" s="180"/>
      <c r="CL814" s="180"/>
      <c r="CM814" s="180"/>
      <c r="CN814" s="180"/>
      <c r="CO814" s="180"/>
      <c r="CP814" s="180"/>
      <c r="CQ814" s="180"/>
      <c r="CR814" s="180"/>
      <c r="CS814" s="180"/>
      <c r="CT814" s="180"/>
      <c r="CU814" s="180"/>
      <c r="CV814" s="173"/>
      <c r="CW814" s="173"/>
      <c r="CX814" s="173"/>
      <c r="CY814" s="173"/>
      <c r="CZ814" s="173"/>
      <c r="DA814" s="198"/>
      <c r="DC814" s="197"/>
      <c r="DD814" s="180"/>
      <c r="DE814" s="180"/>
      <c r="DF814" s="180"/>
      <c r="DG814" s="180"/>
      <c r="DH814" s="180"/>
      <c r="DI814" s="180"/>
      <c r="DJ814" s="180"/>
      <c r="DK814" s="180"/>
      <c r="DL814" s="180"/>
      <c r="DM814" s="180"/>
      <c r="DN814" s="180"/>
      <c r="DO814" s="180"/>
      <c r="DP814" s="180"/>
      <c r="DQ814" s="173"/>
      <c r="DR814" s="173"/>
      <c r="DS814" s="173"/>
      <c r="DT814" s="173"/>
      <c r="DU814" s="173"/>
      <c r="DV814" s="198"/>
    </row>
    <row r="815" spans="85:126" x14ac:dyDescent="0.2">
      <c r="CG815" s="179"/>
      <c r="CH815" s="197"/>
      <c r="CI815" s="180"/>
      <c r="CJ815" s="180"/>
      <c r="CK815" s="180"/>
      <c r="CL815" s="180"/>
      <c r="CM815" s="180"/>
      <c r="CN815" s="180"/>
      <c r="CO815" s="180"/>
      <c r="CP815" s="180"/>
      <c r="CQ815" s="180"/>
      <c r="CR815" s="180"/>
      <c r="CS815" s="180"/>
      <c r="CT815" s="180"/>
      <c r="CU815" s="180"/>
      <c r="CV815" s="173"/>
      <c r="CW815" s="173"/>
      <c r="CX815" s="173"/>
      <c r="CY815" s="173"/>
      <c r="CZ815" s="173"/>
      <c r="DA815" s="198"/>
      <c r="DC815" s="197"/>
      <c r="DD815" s="180"/>
      <c r="DE815" s="180"/>
      <c r="DF815" s="180"/>
      <c r="DG815" s="180"/>
      <c r="DH815" s="180"/>
      <c r="DI815" s="180"/>
      <c r="DJ815" s="180"/>
      <c r="DK815" s="180"/>
      <c r="DL815" s="180"/>
      <c r="DM815" s="180"/>
      <c r="DN815" s="180"/>
      <c r="DO815" s="180"/>
      <c r="DP815" s="180"/>
      <c r="DQ815" s="173"/>
      <c r="DR815" s="173"/>
      <c r="DS815" s="173"/>
      <c r="DT815" s="173"/>
      <c r="DU815" s="173"/>
      <c r="DV815" s="198"/>
    </row>
    <row r="816" spans="85:126" x14ac:dyDescent="0.2">
      <c r="CG816" s="179"/>
      <c r="CH816" s="197"/>
      <c r="CI816" s="180"/>
      <c r="CJ816" s="180"/>
      <c r="CK816" s="180"/>
      <c r="CL816" s="180"/>
      <c r="CM816" s="180"/>
      <c r="CN816" s="180"/>
      <c r="CO816" s="180"/>
      <c r="CP816" s="180"/>
      <c r="CQ816" s="180"/>
      <c r="CR816" s="180"/>
      <c r="CS816" s="180"/>
      <c r="CT816" s="180"/>
      <c r="CU816" s="180"/>
      <c r="CV816" s="173"/>
      <c r="CW816" s="173"/>
      <c r="CX816" s="173"/>
      <c r="CY816" s="173"/>
      <c r="CZ816" s="173"/>
      <c r="DA816" s="198"/>
      <c r="DC816" s="197"/>
      <c r="DD816" s="180"/>
      <c r="DE816" s="180"/>
      <c r="DF816" s="180"/>
      <c r="DG816" s="180"/>
      <c r="DH816" s="180"/>
      <c r="DI816" s="180"/>
      <c r="DJ816" s="180"/>
      <c r="DK816" s="180"/>
      <c r="DL816" s="180"/>
      <c r="DM816" s="180"/>
      <c r="DN816" s="180"/>
      <c r="DO816" s="180"/>
      <c r="DP816" s="180"/>
      <c r="DQ816" s="173"/>
      <c r="DR816" s="173"/>
      <c r="DS816" s="173"/>
      <c r="DT816" s="173"/>
      <c r="DU816" s="173"/>
      <c r="DV816" s="198"/>
    </row>
    <row r="817" spans="85:126" x14ac:dyDescent="0.2">
      <c r="CG817" s="179"/>
      <c r="CH817" s="197"/>
      <c r="CI817" s="180"/>
      <c r="CJ817" s="180"/>
      <c r="CK817" s="180"/>
      <c r="CL817" s="180"/>
      <c r="CM817" s="180"/>
      <c r="CN817" s="180"/>
      <c r="CO817" s="180"/>
      <c r="CP817" s="180"/>
      <c r="CQ817" s="180"/>
      <c r="CR817" s="180"/>
      <c r="CS817" s="180"/>
      <c r="CT817" s="180"/>
      <c r="CU817" s="180"/>
      <c r="CV817" s="173"/>
      <c r="CW817" s="173"/>
      <c r="CX817" s="173"/>
      <c r="CY817" s="173"/>
      <c r="CZ817" s="173"/>
      <c r="DA817" s="198"/>
      <c r="DC817" s="197"/>
      <c r="DD817" s="180"/>
      <c r="DE817" s="180"/>
      <c r="DF817" s="180"/>
      <c r="DG817" s="180"/>
      <c r="DH817" s="180"/>
      <c r="DI817" s="180"/>
      <c r="DJ817" s="180"/>
      <c r="DK817" s="180"/>
      <c r="DL817" s="180"/>
      <c r="DM817" s="180"/>
      <c r="DN817" s="180"/>
      <c r="DO817" s="180"/>
      <c r="DP817" s="180"/>
      <c r="DQ817" s="173"/>
      <c r="DR817" s="173"/>
      <c r="DS817" s="173"/>
      <c r="DT817" s="173"/>
      <c r="DU817" s="173"/>
      <c r="DV817" s="198"/>
    </row>
    <row r="818" spans="85:126" x14ac:dyDescent="0.2">
      <c r="CG818" s="176"/>
      <c r="CH818" s="197"/>
      <c r="CI818" s="180"/>
      <c r="CJ818" s="180"/>
      <c r="CK818" s="180"/>
      <c r="CL818" s="180"/>
      <c r="CM818" s="180"/>
      <c r="CN818" s="180"/>
      <c r="CO818" s="180"/>
      <c r="CP818" s="180"/>
      <c r="CQ818" s="180"/>
      <c r="CR818" s="180"/>
      <c r="CS818" s="180"/>
      <c r="CT818" s="180"/>
      <c r="CU818" s="180"/>
      <c r="CV818" s="173"/>
      <c r="CW818" s="173"/>
      <c r="CX818" s="173"/>
      <c r="CY818" s="173"/>
      <c r="CZ818" s="173"/>
      <c r="DA818" s="198"/>
      <c r="DC818" s="197"/>
      <c r="DD818" s="180"/>
      <c r="DE818" s="180"/>
      <c r="DF818" s="180"/>
      <c r="DG818" s="180"/>
      <c r="DH818" s="180"/>
      <c r="DI818" s="180"/>
      <c r="DJ818" s="180"/>
      <c r="DK818" s="180"/>
      <c r="DL818" s="180"/>
      <c r="DM818" s="180"/>
      <c r="DN818" s="180"/>
      <c r="DO818" s="180"/>
      <c r="DP818" s="180"/>
      <c r="DQ818" s="173"/>
      <c r="DR818" s="173"/>
      <c r="DS818" s="173"/>
      <c r="DT818" s="173"/>
      <c r="DU818" s="173"/>
      <c r="DV818" s="198"/>
    </row>
    <row r="819" spans="85:126" x14ac:dyDescent="0.2">
      <c r="CG819" s="176"/>
      <c r="CH819" s="197"/>
      <c r="CI819" s="180"/>
      <c r="CJ819" s="180"/>
      <c r="CK819" s="180"/>
      <c r="CL819" s="180"/>
      <c r="CM819" s="180"/>
      <c r="CN819" s="180"/>
      <c r="CO819" s="180"/>
      <c r="CP819" s="180"/>
      <c r="CQ819" s="180"/>
      <c r="CR819" s="180"/>
      <c r="CS819" s="180"/>
      <c r="CT819" s="180"/>
      <c r="CU819" s="180"/>
      <c r="CV819" s="173"/>
      <c r="CW819" s="173"/>
      <c r="CX819" s="173"/>
      <c r="CY819" s="173"/>
      <c r="CZ819" s="173"/>
      <c r="DA819" s="198"/>
      <c r="DC819" s="197"/>
      <c r="DD819" s="180"/>
      <c r="DE819" s="180"/>
      <c r="DF819" s="180"/>
      <c r="DG819" s="180"/>
      <c r="DH819" s="180"/>
      <c r="DI819" s="180"/>
      <c r="DJ819" s="180"/>
      <c r="DK819" s="180"/>
      <c r="DL819" s="180"/>
      <c r="DM819" s="180"/>
      <c r="DN819" s="180"/>
      <c r="DO819" s="180"/>
      <c r="DP819" s="180"/>
      <c r="DQ819" s="173"/>
      <c r="DR819" s="173"/>
      <c r="DS819" s="173"/>
      <c r="DT819" s="173"/>
      <c r="DU819" s="173"/>
      <c r="DV819" s="198"/>
    </row>
    <row r="820" spans="85:126" x14ac:dyDescent="0.2">
      <c r="CG820" s="176"/>
      <c r="CH820" s="199"/>
      <c r="CI820" s="200"/>
      <c r="CJ820" s="200"/>
      <c r="CK820" s="200"/>
      <c r="CL820" s="200"/>
      <c r="CM820" s="200"/>
      <c r="CN820" s="200"/>
      <c r="CO820" s="200"/>
      <c r="CP820" s="200"/>
      <c r="CQ820" s="201"/>
      <c r="CR820" s="202"/>
      <c r="CS820" s="200"/>
      <c r="CT820" s="200"/>
      <c r="CU820" s="200"/>
      <c r="CV820" s="203"/>
      <c r="CW820" s="203"/>
      <c r="CX820" s="203"/>
      <c r="CY820" s="203"/>
      <c r="CZ820" s="203"/>
      <c r="DA820" s="204"/>
      <c r="DC820" s="199"/>
      <c r="DD820" s="200"/>
      <c r="DE820" s="200"/>
      <c r="DF820" s="200"/>
      <c r="DG820" s="200"/>
      <c r="DH820" s="200"/>
      <c r="DI820" s="200"/>
      <c r="DJ820" s="200"/>
      <c r="DK820" s="200"/>
      <c r="DL820" s="200"/>
      <c r="DM820" s="200"/>
      <c r="DN820" s="200"/>
      <c r="DO820" s="200"/>
      <c r="DP820" s="200"/>
      <c r="DQ820" s="203"/>
      <c r="DR820" s="203"/>
      <c r="DS820" s="203"/>
      <c r="DT820" s="203"/>
      <c r="DU820" s="203"/>
      <c r="DV820" s="204"/>
    </row>
    <row r="821" spans="85:126" x14ac:dyDescent="0.2">
      <c r="CG821" s="176">
        <v>42</v>
      </c>
      <c r="CH821" s="192"/>
      <c r="CI821" s="193"/>
      <c r="CJ821" s="193"/>
      <c r="CK821" s="193"/>
      <c r="CL821" s="193"/>
      <c r="CM821" s="193"/>
      <c r="CN821" s="193"/>
      <c r="CO821" s="193"/>
      <c r="CP821" s="193"/>
      <c r="CQ821" s="193"/>
      <c r="CR821" s="193"/>
      <c r="CS821" s="193"/>
      <c r="CT821" s="193"/>
      <c r="CU821" s="193"/>
      <c r="CV821" s="194"/>
      <c r="CW821" s="194"/>
      <c r="CX821" s="194"/>
      <c r="CY821" s="194"/>
      <c r="CZ821" s="194"/>
      <c r="DA821" s="195"/>
      <c r="DC821" s="192"/>
      <c r="DD821" s="193"/>
      <c r="DE821" s="193"/>
      <c r="DF821" s="193"/>
      <c r="DG821" s="193"/>
      <c r="DH821" s="193"/>
      <c r="DI821" s="193"/>
      <c r="DJ821" s="193"/>
      <c r="DK821" s="193"/>
      <c r="DL821" s="193"/>
      <c r="DM821" s="193"/>
      <c r="DN821" s="193"/>
      <c r="DO821" s="193"/>
      <c r="DP821" s="193"/>
      <c r="DQ821" s="194"/>
      <c r="DR821" s="194"/>
      <c r="DS821" s="194"/>
      <c r="DT821" s="194"/>
      <c r="DU821" s="194"/>
      <c r="DV821" s="195"/>
    </row>
    <row r="822" spans="85:126" x14ac:dyDescent="0.2">
      <c r="CG822" s="176"/>
      <c r="CH822" s="169"/>
      <c r="CI822" s="177"/>
      <c r="CJ822" s="177"/>
      <c r="CK822" s="177"/>
      <c r="CL822" s="177"/>
      <c r="CM822" s="177"/>
      <c r="CN822" s="177"/>
      <c r="CO822" s="177"/>
      <c r="CP822" s="177"/>
      <c r="CQ822" s="177"/>
      <c r="CR822" s="177"/>
      <c r="CS822" s="177"/>
      <c r="CT822" s="177"/>
      <c r="CU822" s="177"/>
      <c r="CV822" s="172"/>
      <c r="CW822" s="172"/>
      <c r="CX822" s="172"/>
      <c r="CY822" s="172"/>
      <c r="CZ822" s="172"/>
      <c r="DA822" s="196"/>
      <c r="DC822" s="169"/>
      <c r="DD822" s="177"/>
      <c r="DE822" s="177"/>
      <c r="DF822" s="177"/>
      <c r="DG822" s="177"/>
      <c r="DH822" s="177"/>
      <c r="DI822" s="177"/>
      <c r="DJ822" s="177"/>
      <c r="DK822" s="177"/>
      <c r="DL822" s="177"/>
      <c r="DM822" s="177"/>
      <c r="DN822" s="177"/>
      <c r="DO822" s="177"/>
      <c r="DP822" s="177"/>
      <c r="DQ822" s="172"/>
      <c r="DR822" s="172"/>
      <c r="DS822" s="172"/>
      <c r="DT822" s="172"/>
      <c r="DU822" s="172"/>
      <c r="DV822" s="196"/>
    </row>
    <row r="823" spans="85:126" x14ac:dyDescent="0.2">
      <c r="CG823" s="131"/>
      <c r="CH823" s="169"/>
      <c r="CI823" s="177"/>
      <c r="CJ823" s="177"/>
      <c r="CK823" s="177"/>
      <c r="CL823" s="177"/>
      <c r="CM823" s="177"/>
      <c r="CN823" s="177"/>
      <c r="CO823" s="177"/>
      <c r="CP823" s="177"/>
      <c r="CQ823" s="177"/>
      <c r="CR823" s="177"/>
      <c r="CS823" s="177"/>
      <c r="CT823" s="177"/>
      <c r="CU823" s="177"/>
      <c r="CV823" s="172"/>
      <c r="CW823" s="172"/>
      <c r="CX823" s="172"/>
      <c r="CY823" s="172"/>
      <c r="CZ823" s="172"/>
      <c r="DA823" s="196"/>
      <c r="DC823" s="169"/>
      <c r="DD823" s="177"/>
      <c r="DE823" s="177"/>
      <c r="DF823" s="177"/>
      <c r="DG823" s="177"/>
      <c r="DH823" s="177"/>
      <c r="DI823" s="177"/>
      <c r="DJ823" s="177"/>
      <c r="DK823" s="177"/>
      <c r="DL823" s="177"/>
      <c r="DM823" s="177"/>
      <c r="DN823" s="177"/>
      <c r="DO823" s="177"/>
      <c r="DP823" s="177"/>
      <c r="DQ823" s="172"/>
      <c r="DR823" s="172"/>
      <c r="DS823" s="172"/>
      <c r="DT823" s="172"/>
      <c r="DU823" s="172"/>
      <c r="DV823" s="196"/>
    </row>
    <row r="824" spans="85:126" x14ac:dyDescent="0.2">
      <c r="CG824" s="176"/>
      <c r="CH824" s="169"/>
      <c r="CI824" s="177"/>
      <c r="CJ824" s="177"/>
      <c r="CK824" s="177"/>
      <c r="CL824" s="177"/>
      <c r="CM824" s="177"/>
      <c r="CN824" s="177"/>
      <c r="CO824" s="177"/>
      <c r="CP824" s="177"/>
      <c r="CQ824" s="177"/>
      <c r="CR824" s="177"/>
      <c r="CS824" s="177"/>
      <c r="CT824" s="177"/>
      <c r="CU824" s="177"/>
      <c r="CV824" s="172"/>
      <c r="CW824" s="172"/>
      <c r="CX824" s="172"/>
      <c r="CY824" s="172"/>
      <c r="CZ824" s="172"/>
      <c r="DA824" s="196"/>
      <c r="DC824" s="169"/>
      <c r="DD824" s="177"/>
      <c r="DE824" s="177"/>
      <c r="DF824" s="177"/>
      <c r="DG824" s="177"/>
      <c r="DH824" s="177"/>
      <c r="DI824" s="177"/>
      <c r="DJ824" s="177"/>
      <c r="DK824" s="177"/>
      <c r="DL824" s="177"/>
      <c r="DM824" s="177"/>
      <c r="DN824" s="177"/>
      <c r="DO824" s="177"/>
      <c r="DP824" s="177"/>
      <c r="DQ824" s="172"/>
      <c r="DR824" s="172"/>
      <c r="DS824" s="172"/>
      <c r="DT824" s="172"/>
      <c r="DU824" s="172"/>
      <c r="DV824" s="196"/>
    </row>
    <row r="825" spans="85:126" x14ac:dyDescent="0.2">
      <c r="CG825" s="178"/>
      <c r="CH825" s="169"/>
      <c r="CI825" s="177"/>
      <c r="CJ825" s="177"/>
      <c r="CK825" s="177"/>
      <c r="CL825" s="177"/>
      <c r="CM825" s="177"/>
      <c r="CN825" s="177"/>
      <c r="CO825" s="177"/>
      <c r="CP825" s="177"/>
      <c r="CQ825" s="177"/>
      <c r="CR825" s="177"/>
      <c r="CS825" s="177"/>
      <c r="CT825" s="177"/>
      <c r="CU825" s="177"/>
      <c r="CV825" s="172"/>
      <c r="CW825" s="172"/>
      <c r="CX825" s="172"/>
      <c r="CY825" s="172"/>
      <c r="CZ825" s="172"/>
      <c r="DA825" s="196"/>
      <c r="DC825" s="169"/>
      <c r="DD825" s="177"/>
      <c r="DE825" s="177"/>
      <c r="DF825" s="177"/>
      <c r="DG825" s="177"/>
      <c r="DH825" s="177"/>
      <c r="DI825" s="177"/>
      <c r="DJ825" s="177"/>
      <c r="DK825" s="177"/>
      <c r="DL825" s="177"/>
      <c r="DM825" s="177"/>
      <c r="DN825" s="177"/>
      <c r="DO825" s="177"/>
      <c r="DP825" s="177"/>
      <c r="DQ825" s="172"/>
      <c r="DR825" s="172"/>
      <c r="DS825" s="172"/>
      <c r="DT825" s="172"/>
      <c r="DU825" s="172"/>
      <c r="DV825" s="196"/>
    </row>
    <row r="826" spans="85:126" x14ac:dyDescent="0.2">
      <c r="CG826" s="179"/>
      <c r="CH826" s="169"/>
      <c r="CI826" s="177"/>
      <c r="CJ826" s="177"/>
      <c r="CK826" s="177"/>
      <c r="CL826" s="177"/>
      <c r="CM826" s="177"/>
      <c r="CN826" s="177"/>
      <c r="CO826" s="177"/>
      <c r="CP826" s="177"/>
      <c r="CQ826" s="177"/>
      <c r="CR826" s="177"/>
      <c r="CS826" s="177"/>
      <c r="CT826" s="177"/>
      <c r="CU826" s="177"/>
      <c r="CV826" s="172"/>
      <c r="CW826" s="172"/>
      <c r="CX826" s="172"/>
      <c r="CY826" s="172"/>
      <c r="CZ826" s="172"/>
      <c r="DA826" s="196"/>
      <c r="DC826" s="169"/>
      <c r="DD826" s="177"/>
      <c r="DE826" s="177"/>
      <c r="DF826" s="177"/>
      <c r="DG826" s="177"/>
      <c r="DH826" s="177"/>
      <c r="DI826" s="177"/>
      <c r="DJ826" s="177"/>
      <c r="DK826" s="177"/>
      <c r="DL826" s="177"/>
      <c r="DM826" s="177"/>
      <c r="DN826" s="177"/>
      <c r="DO826" s="177"/>
      <c r="DP826" s="177"/>
      <c r="DQ826" s="172"/>
      <c r="DR826" s="172"/>
      <c r="DS826" s="172"/>
      <c r="DT826" s="172"/>
      <c r="DU826" s="172"/>
      <c r="DV826" s="196"/>
    </row>
    <row r="827" spans="85:126" x14ac:dyDescent="0.2">
      <c r="CG827" s="179"/>
      <c r="CH827" s="169"/>
      <c r="CI827" s="177"/>
      <c r="CJ827" s="177"/>
      <c r="CK827" s="177"/>
      <c r="CL827" s="177"/>
      <c r="CM827" s="177"/>
      <c r="CN827" s="177"/>
      <c r="CO827" s="177"/>
      <c r="CP827" s="177"/>
      <c r="CQ827" s="177"/>
      <c r="CR827" s="177"/>
      <c r="CS827" s="177"/>
      <c r="CT827" s="177"/>
      <c r="CU827" s="177"/>
      <c r="CV827" s="172"/>
      <c r="CW827" s="172"/>
      <c r="CX827" s="172"/>
      <c r="CY827" s="172"/>
      <c r="CZ827" s="172"/>
      <c r="DA827" s="196"/>
      <c r="DC827" s="169"/>
      <c r="DD827" s="177"/>
      <c r="DE827" s="177"/>
      <c r="DF827" s="177"/>
      <c r="DG827" s="177"/>
      <c r="DH827" s="177"/>
      <c r="DI827" s="177"/>
      <c r="DJ827" s="177"/>
      <c r="DK827" s="177"/>
      <c r="DL827" s="177"/>
      <c r="DM827" s="177"/>
      <c r="DN827" s="177"/>
      <c r="DO827" s="177"/>
      <c r="DP827" s="177"/>
      <c r="DQ827" s="172"/>
      <c r="DR827" s="172"/>
      <c r="DS827" s="172"/>
      <c r="DT827" s="172"/>
      <c r="DU827" s="172"/>
      <c r="DV827" s="196"/>
    </row>
    <row r="828" spans="85:126" x14ac:dyDescent="0.2">
      <c r="CG828" s="179"/>
      <c r="CH828" s="169"/>
      <c r="CI828" s="177"/>
      <c r="CJ828" s="177"/>
      <c r="CK828" s="177"/>
      <c r="CL828" s="177"/>
      <c r="CM828" s="177"/>
      <c r="CN828" s="177"/>
      <c r="CO828" s="177"/>
      <c r="CP828" s="177"/>
      <c r="CQ828" s="177"/>
      <c r="CR828" s="177"/>
      <c r="CS828" s="177"/>
      <c r="CT828" s="177"/>
      <c r="CU828" s="177"/>
      <c r="CV828" s="172"/>
      <c r="CW828" s="172"/>
      <c r="CX828" s="172"/>
      <c r="CY828" s="172"/>
      <c r="CZ828" s="172"/>
      <c r="DA828" s="196"/>
      <c r="DC828" s="169"/>
      <c r="DD828" s="177"/>
      <c r="DE828" s="177"/>
      <c r="DF828" s="177"/>
      <c r="DG828" s="177"/>
      <c r="DH828" s="177"/>
      <c r="DI828" s="177"/>
      <c r="DJ828" s="177"/>
      <c r="DK828" s="177"/>
      <c r="DL828" s="177"/>
      <c r="DM828" s="177"/>
      <c r="DN828" s="177"/>
      <c r="DO828" s="177"/>
      <c r="DP828" s="177"/>
      <c r="DQ828" s="172"/>
      <c r="DR828" s="172"/>
      <c r="DS828" s="172"/>
      <c r="DT828" s="172"/>
      <c r="DU828" s="172"/>
      <c r="DV828" s="196"/>
    </row>
    <row r="829" spans="85:126" x14ac:dyDescent="0.2">
      <c r="CG829" s="179"/>
      <c r="CH829" s="169"/>
      <c r="CI829" s="177"/>
      <c r="CJ829" s="177"/>
      <c r="CK829" s="177"/>
      <c r="CL829" s="177"/>
      <c r="CM829" s="177"/>
      <c r="CN829" s="177"/>
      <c r="CO829" s="177"/>
      <c r="CP829" s="177"/>
      <c r="CQ829" s="177"/>
      <c r="CR829" s="177"/>
      <c r="CS829" s="177"/>
      <c r="CT829" s="177"/>
      <c r="CU829" s="177"/>
      <c r="CV829" s="172"/>
      <c r="CW829" s="172"/>
      <c r="CX829" s="172"/>
      <c r="CY829" s="172"/>
      <c r="CZ829" s="172"/>
      <c r="DA829" s="196"/>
      <c r="DC829" s="169"/>
      <c r="DD829" s="177"/>
      <c r="DE829" s="177"/>
      <c r="DF829" s="177"/>
      <c r="DG829" s="177"/>
      <c r="DH829" s="177"/>
      <c r="DI829" s="177"/>
      <c r="DJ829" s="177"/>
      <c r="DK829" s="177"/>
      <c r="DL829" s="177"/>
      <c r="DM829" s="177"/>
      <c r="DN829" s="177"/>
      <c r="DO829" s="177"/>
      <c r="DP829" s="177"/>
      <c r="DQ829" s="172"/>
      <c r="DR829" s="172"/>
      <c r="DS829" s="172"/>
      <c r="DT829" s="172"/>
      <c r="DU829" s="172"/>
      <c r="DV829" s="196"/>
    </row>
    <row r="830" spans="85:126" x14ac:dyDescent="0.2">
      <c r="CG830" s="179"/>
      <c r="CH830" s="169"/>
      <c r="CI830" s="177"/>
      <c r="CJ830" s="177"/>
      <c r="CK830" s="177"/>
      <c r="CL830" s="177"/>
      <c r="CM830" s="177"/>
      <c r="CN830" s="177"/>
      <c r="CO830" s="177"/>
      <c r="CP830" s="177"/>
      <c r="CQ830" s="177"/>
      <c r="CR830" s="177"/>
      <c r="CS830" s="177"/>
      <c r="CT830" s="177"/>
      <c r="CU830" s="177"/>
      <c r="CV830" s="172"/>
      <c r="CW830" s="172"/>
      <c r="CX830" s="172"/>
      <c r="CY830" s="172"/>
      <c r="CZ830" s="172"/>
      <c r="DA830" s="196"/>
      <c r="DC830" s="169"/>
      <c r="DD830" s="177"/>
      <c r="DE830" s="177"/>
      <c r="DF830" s="177"/>
      <c r="DG830" s="177"/>
      <c r="DH830" s="177"/>
      <c r="DI830" s="177"/>
      <c r="DJ830" s="177"/>
      <c r="DK830" s="177"/>
      <c r="DL830" s="177"/>
      <c r="DM830" s="177"/>
      <c r="DN830" s="177"/>
      <c r="DO830" s="177"/>
      <c r="DP830" s="177"/>
      <c r="DQ830" s="172"/>
      <c r="DR830" s="172"/>
      <c r="DS830" s="172"/>
      <c r="DT830" s="172"/>
      <c r="DU830" s="172"/>
      <c r="DV830" s="196"/>
    </row>
    <row r="831" spans="85:126" x14ac:dyDescent="0.2">
      <c r="CG831" s="179"/>
      <c r="CH831" s="169"/>
      <c r="CI831" s="177"/>
      <c r="CJ831" s="177"/>
      <c r="CK831" s="177"/>
      <c r="CL831" s="177"/>
      <c r="CM831" s="177"/>
      <c r="CN831" s="177"/>
      <c r="CO831" s="177"/>
      <c r="CP831" s="177"/>
      <c r="CQ831" s="177"/>
      <c r="CR831" s="177"/>
      <c r="CS831" s="177"/>
      <c r="CT831" s="177"/>
      <c r="CU831" s="177"/>
      <c r="CV831" s="172"/>
      <c r="CW831" s="172"/>
      <c r="CX831" s="172"/>
      <c r="CY831" s="172"/>
      <c r="CZ831" s="172"/>
      <c r="DA831" s="196"/>
      <c r="DC831" s="169"/>
      <c r="DD831" s="177"/>
      <c r="DE831" s="177"/>
      <c r="DF831" s="177"/>
      <c r="DG831" s="177"/>
      <c r="DH831" s="177"/>
      <c r="DI831" s="177"/>
      <c r="DJ831" s="177"/>
      <c r="DK831" s="177"/>
      <c r="DL831" s="177"/>
      <c r="DM831" s="177"/>
      <c r="DN831" s="177"/>
      <c r="DO831" s="177"/>
      <c r="DP831" s="177"/>
      <c r="DQ831" s="172"/>
      <c r="DR831" s="172"/>
      <c r="DS831" s="172"/>
      <c r="DT831" s="172"/>
      <c r="DU831" s="172"/>
      <c r="DV831" s="196"/>
    </row>
    <row r="832" spans="85:126" x14ac:dyDescent="0.2">
      <c r="CG832" s="179"/>
      <c r="CH832" s="169"/>
      <c r="CI832" s="177"/>
      <c r="CJ832" s="177"/>
      <c r="CK832" s="177"/>
      <c r="CL832" s="177"/>
      <c r="CM832" s="177"/>
      <c r="CN832" s="177"/>
      <c r="CO832" s="177"/>
      <c r="CP832" s="177"/>
      <c r="CQ832" s="177"/>
      <c r="CR832" s="177"/>
      <c r="CS832" s="177"/>
      <c r="CT832" s="177"/>
      <c r="CU832" s="177"/>
      <c r="CV832" s="172"/>
      <c r="CW832" s="172"/>
      <c r="CX832" s="172"/>
      <c r="CY832" s="172"/>
      <c r="CZ832" s="172"/>
      <c r="DA832" s="196"/>
      <c r="DC832" s="169"/>
      <c r="DD832" s="177"/>
      <c r="DE832" s="177"/>
      <c r="DF832" s="177"/>
      <c r="DG832" s="177"/>
      <c r="DH832" s="177"/>
      <c r="DI832" s="177"/>
      <c r="DJ832" s="177"/>
      <c r="DK832" s="177"/>
      <c r="DL832" s="177"/>
      <c r="DM832" s="177"/>
      <c r="DN832" s="177"/>
      <c r="DO832" s="177"/>
      <c r="DP832" s="177"/>
      <c r="DQ832" s="172"/>
      <c r="DR832" s="172"/>
      <c r="DS832" s="172"/>
      <c r="DT832" s="172"/>
      <c r="DU832" s="172"/>
      <c r="DV832" s="196"/>
    </row>
    <row r="833" spans="85:126" x14ac:dyDescent="0.2">
      <c r="CG833" s="179"/>
      <c r="CH833" s="197"/>
      <c r="CI833" s="180"/>
      <c r="CJ833" s="180"/>
      <c r="CK833" s="180"/>
      <c r="CL833" s="180"/>
      <c r="CM833" s="180"/>
      <c r="CN833" s="180"/>
      <c r="CO833" s="180"/>
      <c r="CP833" s="180"/>
      <c r="CQ833" s="180"/>
      <c r="CR833" s="180"/>
      <c r="CS833" s="180"/>
      <c r="CT833" s="180"/>
      <c r="CU833" s="180"/>
      <c r="CV833" s="173"/>
      <c r="CW833" s="173"/>
      <c r="CX833" s="173"/>
      <c r="CY833" s="173"/>
      <c r="CZ833" s="173"/>
      <c r="DA833" s="198"/>
      <c r="DC833" s="197"/>
      <c r="DD833" s="180"/>
      <c r="DE833" s="180"/>
      <c r="DF833" s="180"/>
      <c r="DG833" s="180"/>
      <c r="DH833" s="180"/>
      <c r="DI833" s="180"/>
      <c r="DJ833" s="180"/>
      <c r="DK833" s="180"/>
      <c r="DL833" s="180"/>
      <c r="DM833" s="180"/>
      <c r="DN833" s="180"/>
      <c r="DO833" s="180"/>
      <c r="DP833" s="180"/>
      <c r="DQ833" s="173"/>
      <c r="DR833" s="173"/>
      <c r="DS833" s="173"/>
      <c r="DT833" s="173"/>
      <c r="DU833" s="173"/>
      <c r="DV833" s="198"/>
    </row>
    <row r="834" spans="85:126" x14ac:dyDescent="0.2">
      <c r="CG834" s="179"/>
      <c r="CH834" s="197"/>
      <c r="CI834" s="180"/>
      <c r="CJ834" s="180"/>
      <c r="CK834" s="180"/>
      <c r="CL834" s="180"/>
      <c r="CM834" s="180"/>
      <c r="CN834" s="180"/>
      <c r="CO834" s="180"/>
      <c r="CP834" s="180"/>
      <c r="CQ834" s="180"/>
      <c r="CR834" s="180"/>
      <c r="CS834" s="180"/>
      <c r="CT834" s="180"/>
      <c r="CU834" s="180"/>
      <c r="CV834" s="173"/>
      <c r="CW834" s="173"/>
      <c r="CX834" s="173"/>
      <c r="CY834" s="173"/>
      <c r="CZ834" s="173"/>
      <c r="DA834" s="198"/>
      <c r="DC834" s="197"/>
      <c r="DD834" s="180"/>
      <c r="DE834" s="180"/>
      <c r="DF834" s="180"/>
      <c r="DG834" s="180"/>
      <c r="DH834" s="180"/>
      <c r="DI834" s="180"/>
      <c r="DJ834" s="180"/>
      <c r="DK834" s="180"/>
      <c r="DL834" s="180"/>
      <c r="DM834" s="180"/>
      <c r="DN834" s="180"/>
      <c r="DO834" s="180"/>
      <c r="DP834" s="180"/>
      <c r="DQ834" s="173"/>
      <c r="DR834" s="173"/>
      <c r="DS834" s="173"/>
      <c r="DT834" s="173"/>
      <c r="DU834" s="173"/>
      <c r="DV834" s="198"/>
    </row>
    <row r="835" spans="85:126" x14ac:dyDescent="0.2">
      <c r="CG835" s="179"/>
      <c r="CH835" s="197"/>
      <c r="CI835" s="180"/>
      <c r="CJ835" s="180"/>
      <c r="CK835" s="180"/>
      <c r="CL835" s="180"/>
      <c r="CM835" s="180"/>
      <c r="CN835" s="180"/>
      <c r="CO835" s="180"/>
      <c r="CP835" s="180"/>
      <c r="CQ835" s="180"/>
      <c r="CR835" s="180"/>
      <c r="CS835" s="180"/>
      <c r="CT835" s="180"/>
      <c r="CU835" s="180"/>
      <c r="CV835" s="173"/>
      <c r="CW835" s="173"/>
      <c r="CX835" s="173"/>
      <c r="CY835" s="173"/>
      <c r="CZ835" s="173"/>
      <c r="DA835" s="198"/>
      <c r="DC835" s="197"/>
      <c r="DD835" s="180"/>
      <c r="DE835" s="180"/>
      <c r="DF835" s="180"/>
      <c r="DG835" s="180"/>
      <c r="DH835" s="180"/>
      <c r="DI835" s="180"/>
      <c r="DJ835" s="180"/>
      <c r="DK835" s="180"/>
      <c r="DL835" s="180"/>
      <c r="DM835" s="180"/>
      <c r="DN835" s="180"/>
      <c r="DO835" s="180"/>
      <c r="DP835" s="180"/>
      <c r="DQ835" s="173"/>
      <c r="DR835" s="173"/>
      <c r="DS835" s="173"/>
      <c r="DT835" s="173"/>
      <c r="DU835" s="173"/>
      <c r="DV835" s="198"/>
    </row>
    <row r="836" spans="85:126" x14ac:dyDescent="0.2">
      <c r="CG836" s="179"/>
      <c r="CH836" s="197"/>
      <c r="CI836" s="180"/>
      <c r="CJ836" s="180"/>
      <c r="CK836" s="180"/>
      <c r="CL836" s="180"/>
      <c r="CM836" s="180"/>
      <c r="CN836" s="180"/>
      <c r="CO836" s="180"/>
      <c r="CP836" s="180"/>
      <c r="CQ836" s="180"/>
      <c r="CR836" s="180"/>
      <c r="CS836" s="180"/>
      <c r="CT836" s="180"/>
      <c r="CU836" s="180"/>
      <c r="CV836" s="173"/>
      <c r="CW836" s="173"/>
      <c r="CX836" s="173"/>
      <c r="CY836" s="173"/>
      <c r="CZ836" s="173"/>
      <c r="DA836" s="198"/>
      <c r="DC836" s="197"/>
      <c r="DD836" s="180"/>
      <c r="DE836" s="180"/>
      <c r="DF836" s="180"/>
      <c r="DG836" s="180"/>
      <c r="DH836" s="180"/>
      <c r="DI836" s="180"/>
      <c r="DJ836" s="180"/>
      <c r="DK836" s="180"/>
      <c r="DL836" s="180"/>
      <c r="DM836" s="180"/>
      <c r="DN836" s="180"/>
      <c r="DO836" s="180"/>
      <c r="DP836" s="180"/>
      <c r="DQ836" s="173"/>
      <c r="DR836" s="173"/>
      <c r="DS836" s="173"/>
      <c r="DT836" s="173"/>
      <c r="DU836" s="173"/>
      <c r="DV836" s="198"/>
    </row>
    <row r="837" spans="85:126" x14ac:dyDescent="0.2">
      <c r="CG837" s="179"/>
      <c r="CH837" s="197"/>
      <c r="CI837" s="180"/>
      <c r="CJ837" s="180"/>
      <c r="CK837" s="180"/>
      <c r="CL837" s="180"/>
      <c r="CM837" s="180"/>
      <c r="CN837" s="180"/>
      <c r="CO837" s="180"/>
      <c r="CP837" s="180"/>
      <c r="CQ837" s="180"/>
      <c r="CR837" s="180"/>
      <c r="CS837" s="180"/>
      <c r="CT837" s="180"/>
      <c r="CU837" s="180"/>
      <c r="CV837" s="173"/>
      <c r="CW837" s="173"/>
      <c r="CX837" s="173"/>
      <c r="CY837" s="173"/>
      <c r="CZ837" s="173"/>
      <c r="DA837" s="198"/>
      <c r="DC837" s="197"/>
      <c r="DD837" s="180"/>
      <c r="DE837" s="180"/>
      <c r="DF837" s="180"/>
      <c r="DG837" s="180"/>
      <c r="DH837" s="180"/>
      <c r="DI837" s="180"/>
      <c r="DJ837" s="180"/>
      <c r="DK837" s="180"/>
      <c r="DL837" s="180"/>
      <c r="DM837" s="180"/>
      <c r="DN837" s="180"/>
      <c r="DO837" s="180"/>
      <c r="DP837" s="180"/>
      <c r="DQ837" s="173"/>
      <c r="DR837" s="173"/>
      <c r="DS837" s="173"/>
      <c r="DT837" s="173"/>
      <c r="DU837" s="173"/>
      <c r="DV837" s="198"/>
    </row>
    <row r="838" spans="85:126" x14ac:dyDescent="0.2">
      <c r="CG838" s="176"/>
      <c r="CH838" s="197"/>
      <c r="CI838" s="180"/>
      <c r="CJ838" s="180"/>
      <c r="CK838" s="180"/>
      <c r="CL838" s="180"/>
      <c r="CM838" s="180"/>
      <c r="CN838" s="180"/>
      <c r="CO838" s="180"/>
      <c r="CP838" s="180"/>
      <c r="CQ838" s="180"/>
      <c r="CR838" s="180"/>
      <c r="CS838" s="180"/>
      <c r="CT838" s="180"/>
      <c r="CU838" s="180"/>
      <c r="CV838" s="173"/>
      <c r="CW838" s="173"/>
      <c r="CX838" s="173"/>
      <c r="CY838" s="173"/>
      <c r="CZ838" s="173"/>
      <c r="DA838" s="198"/>
      <c r="DC838" s="197"/>
      <c r="DD838" s="180"/>
      <c r="DE838" s="180"/>
      <c r="DF838" s="180"/>
      <c r="DG838" s="180"/>
      <c r="DH838" s="180"/>
      <c r="DI838" s="180"/>
      <c r="DJ838" s="180"/>
      <c r="DK838" s="180"/>
      <c r="DL838" s="180"/>
      <c r="DM838" s="180"/>
      <c r="DN838" s="180"/>
      <c r="DO838" s="180"/>
      <c r="DP838" s="180"/>
      <c r="DQ838" s="173"/>
      <c r="DR838" s="173"/>
      <c r="DS838" s="173"/>
      <c r="DT838" s="173"/>
      <c r="DU838" s="173"/>
      <c r="DV838" s="198"/>
    </row>
    <row r="839" spans="85:126" x14ac:dyDescent="0.2">
      <c r="CG839" s="176"/>
      <c r="CH839" s="197"/>
      <c r="CI839" s="180"/>
      <c r="CJ839" s="180"/>
      <c r="CK839" s="180"/>
      <c r="CL839" s="180"/>
      <c r="CM839" s="180"/>
      <c r="CN839" s="180"/>
      <c r="CO839" s="180"/>
      <c r="CP839" s="180"/>
      <c r="CQ839" s="180"/>
      <c r="CR839" s="180"/>
      <c r="CS839" s="180"/>
      <c r="CT839" s="180"/>
      <c r="CU839" s="180"/>
      <c r="CV839" s="173"/>
      <c r="CW839" s="173"/>
      <c r="CX839" s="173"/>
      <c r="CY839" s="173"/>
      <c r="CZ839" s="173"/>
      <c r="DA839" s="198"/>
      <c r="DC839" s="197"/>
      <c r="DD839" s="180"/>
      <c r="DE839" s="180"/>
      <c r="DF839" s="180"/>
      <c r="DG839" s="180"/>
      <c r="DH839" s="180"/>
      <c r="DI839" s="180"/>
      <c r="DJ839" s="180"/>
      <c r="DK839" s="180"/>
      <c r="DL839" s="180"/>
      <c r="DM839" s="180"/>
      <c r="DN839" s="180"/>
      <c r="DO839" s="180"/>
      <c r="DP839" s="180"/>
      <c r="DQ839" s="173"/>
      <c r="DR839" s="173"/>
      <c r="DS839" s="173"/>
      <c r="DT839" s="173"/>
      <c r="DU839" s="173"/>
      <c r="DV839" s="198"/>
    </row>
    <row r="840" spans="85:126" x14ac:dyDescent="0.2">
      <c r="CG840" s="176"/>
      <c r="CH840" s="199"/>
      <c r="CI840" s="200"/>
      <c r="CJ840" s="200"/>
      <c r="CK840" s="200"/>
      <c r="CL840" s="200"/>
      <c r="CM840" s="200"/>
      <c r="CN840" s="200"/>
      <c r="CO840" s="200"/>
      <c r="CP840" s="200"/>
      <c r="CQ840" s="201"/>
      <c r="CR840" s="202"/>
      <c r="CS840" s="200"/>
      <c r="CT840" s="200"/>
      <c r="CU840" s="200"/>
      <c r="CV840" s="203"/>
      <c r="CW840" s="203"/>
      <c r="CX840" s="203"/>
      <c r="CY840" s="203"/>
      <c r="CZ840" s="203"/>
      <c r="DA840" s="204"/>
      <c r="DC840" s="199"/>
      <c r="DD840" s="200"/>
      <c r="DE840" s="200"/>
      <c r="DF840" s="200"/>
      <c r="DG840" s="200"/>
      <c r="DH840" s="200"/>
      <c r="DI840" s="200"/>
      <c r="DJ840" s="200"/>
      <c r="DK840" s="200"/>
      <c r="DL840" s="200"/>
      <c r="DM840" s="200"/>
      <c r="DN840" s="200"/>
      <c r="DO840" s="200"/>
      <c r="DP840" s="200"/>
      <c r="DQ840" s="203"/>
      <c r="DR840" s="203"/>
      <c r="DS840" s="203"/>
      <c r="DT840" s="203"/>
      <c r="DU840" s="203"/>
      <c r="DV840" s="204"/>
    </row>
    <row r="841" spans="85:126" x14ac:dyDescent="0.2">
      <c r="CG841" s="176">
        <v>43</v>
      </c>
      <c r="CH841" s="192"/>
      <c r="CI841" s="193"/>
      <c r="CJ841" s="193"/>
      <c r="CK841" s="193"/>
      <c r="CL841" s="193"/>
      <c r="CM841" s="193"/>
      <c r="CN841" s="193"/>
      <c r="CO841" s="193"/>
      <c r="CP841" s="193"/>
      <c r="CQ841" s="193"/>
      <c r="CR841" s="193"/>
      <c r="CS841" s="193"/>
      <c r="CT841" s="193"/>
      <c r="CU841" s="193"/>
      <c r="CV841" s="194"/>
      <c r="CW841" s="194"/>
      <c r="CX841" s="194"/>
      <c r="CY841" s="194"/>
      <c r="CZ841" s="194"/>
      <c r="DA841" s="195"/>
      <c r="DC841" s="192"/>
      <c r="DD841" s="193"/>
      <c r="DE841" s="193"/>
      <c r="DF841" s="193"/>
      <c r="DG841" s="193"/>
      <c r="DH841" s="193"/>
      <c r="DI841" s="193"/>
      <c r="DJ841" s="193"/>
      <c r="DK841" s="193"/>
      <c r="DL841" s="193"/>
      <c r="DM841" s="193"/>
      <c r="DN841" s="193"/>
      <c r="DO841" s="193"/>
      <c r="DP841" s="193"/>
      <c r="DQ841" s="194"/>
      <c r="DR841" s="194"/>
      <c r="DS841" s="194"/>
      <c r="DT841" s="194"/>
      <c r="DU841" s="194"/>
      <c r="DV841" s="195"/>
    </row>
    <row r="842" spans="85:126" x14ac:dyDescent="0.2">
      <c r="CG842" s="176"/>
      <c r="CH842" s="169"/>
      <c r="CI842" s="177"/>
      <c r="CJ842" s="177"/>
      <c r="CK842" s="177"/>
      <c r="CL842" s="177"/>
      <c r="CM842" s="177"/>
      <c r="CN842" s="177"/>
      <c r="CO842" s="177"/>
      <c r="CP842" s="177"/>
      <c r="CQ842" s="177"/>
      <c r="CR842" s="177"/>
      <c r="CS842" s="177"/>
      <c r="CT842" s="177"/>
      <c r="CU842" s="177"/>
      <c r="CV842" s="172"/>
      <c r="CW842" s="172"/>
      <c r="CX842" s="172"/>
      <c r="CY842" s="172"/>
      <c r="CZ842" s="172"/>
      <c r="DA842" s="196"/>
      <c r="DC842" s="169"/>
      <c r="DD842" s="177"/>
      <c r="DE842" s="177"/>
      <c r="DF842" s="177"/>
      <c r="DG842" s="177"/>
      <c r="DH842" s="177"/>
      <c r="DI842" s="177"/>
      <c r="DJ842" s="177"/>
      <c r="DK842" s="177"/>
      <c r="DL842" s="177"/>
      <c r="DM842" s="177"/>
      <c r="DN842" s="177"/>
      <c r="DO842" s="177"/>
      <c r="DP842" s="177"/>
      <c r="DQ842" s="172"/>
      <c r="DR842" s="172"/>
      <c r="DS842" s="172"/>
      <c r="DT842" s="172"/>
      <c r="DU842" s="172"/>
      <c r="DV842" s="196"/>
    </row>
    <row r="843" spans="85:126" x14ac:dyDescent="0.2">
      <c r="CG843" s="131"/>
      <c r="CH843" s="169"/>
      <c r="CI843" s="177"/>
      <c r="CJ843" s="177"/>
      <c r="CK843" s="177"/>
      <c r="CL843" s="177"/>
      <c r="CM843" s="177"/>
      <c r="CN843" s="177"/>
      <c r="CO843" s="177"/>
      <c r="CP843" s="177"/>
      <c r="CQ843" s="177"/>
      <c r="CR843" s="177"/>
      <c r="CS843" s="177"/>
      <c r="CT843" s="177"/>
      <c r="CU843" s="177"/>
      <c r="CV843" s="172"/>
      <c r="CW843" s="172"/>
      <c r="CX843" s="172"/>
      <c r="CY843" s="172"/>
      <c r="CZ843" s="172"/>
      <c r="DA843" s="196"/>
      <c r="DC843" s="169"/>
      <c r="DD843" s="177"/>
      <c r="DE843" s="177"/>
      <c r="DF843" s="177"/>
      <c r="DG843" s="177"/>
      <c r="DH843" s="177"/>
      <c r="DI843" s="177"/>
      <c r="DJ843" s="177"/>
      <c r="DK843" s="177"/>
      <c r="DL843" s="177"/>
      <c r="DM843" s="177"/>
      <c r="DN843" s="177"/>
      <c r="DO843" s="177"/>
      <c r="DP843" s="177"/>
      <c r="DQ843" s="172"/>
      <c r="DR843" s="172"/>
      <c r="DS843" s="172"/>
      <c r="DT843" s="172"/>
      <c r="DU843" s="172"/>
      <c r="DV843" s="196"/>
    </row>
    <row r="844" spans="85:126" x14ac:dyDescent="0.2">
      <c r="CG844" s="176"/>
      <c r="CH844" s="169"/>
      <c r="CI844" s="177"/>
      <c r="CJ844" s="177"/>
      <c r="CK844" s="177"/>
      <c r="CL844" s="177"/>
      <c r="CM844" s="177"/>
      <c r="CN844" s="177"/>
      <c r="CO844" s="177"/>
      <c r="CP844" s="177"/>
      <c r="CQ844" s="177"/>
      <c r="CR844" s="177"/>
      <c r="CS844" s="177"/>
      <c r="CT844" s="177"/>
      <c r="CU844" s="177"/>
      <c r="CV844" s="172"/>
      <c r="CW844" s="172"/>
      <c r="CX844" s="172"/>
      <c r="CY844" s="172"/>
      <c r="CZ844" s="172"/>
      <c r="DA844" s="196"/>
      <c r="DC844" s="169"/>
      <c r="DD844" s="177"/>
      <c r="DE844" s="177"/>
      <c r="DF844" s="177"/>
      <c r="DG844" s="177"/>
      <c r="DH844" s="177"/>
      <c r="DI844" s="177"/>
      <c r="DJ844" s="177"/>
      <c r="DK844" s="177"/>
      <c r="DL844" s="177"/>
      <c r="DM844" s="177"/>
      <c r="DN844" s="177"/>
      <c r="DO844" s="177"/>
      <c r="DP844" s="177"/>
      <c r="DQ844" s="172"/>
      <c r="DR844" s="172"/>
      <c r="DS844" s="172"/>
      <c r="DT844" s="172"/>
      <c r="DU844" s="172"/>
      <c r="DV844" s="196"/>
    </row>
    <row r="845" spans="85:126" x14ac:dyDescent="0.2">
      <c r="CG845" s="178"/>
      <c r="CH845" s="169"/>
      <c r="CI845" s="177"/>
      <c r="CJ845" s="177"/>
      <c r="CK845" s="177"/>
      <c r="CL845" s="177"/>
      <c r="CM845" s="177"/>
      <c r="CN845" s="177"/>
      <c r="CO845" s="177"/>
      <c r="CP845" s="177"/>
      <c r="CQ845" s="177"/>
      <c r="CR845" s="177"/>
      <c r="CS845" s="177"/>
      <c r="CT845" s="177"/>
      <c r="CU845" s="177"/>
      <c r="CV845" s="172"/>
      <c r="CW845" s="172"/>
      <c r="CX845" s="172"/>
      <c r="CY845" s="172"/>
      <c r="CZ845" s="172"/>
      <c r="DA845" s="196"/>
      <c r="DC845" s="169"/>
      <c r="DD845" s="177"/>
      <c r="DE845" s="177"/>
      <c r="DF845" s="177"/>
      <c r="DG845" s="177"/>
      <c r="DH845" s="177"/>
      <c r="DI845" s="177"/>
      <c r="DJ845" s="177"/>
      <c r="DK845" s="177"/>
      <c r="DL845" s="177"/>
      <c r="DM845" s="177"/>
      <c r="DN845" s="177"/>
      <c r="DO845" s="177"/>
      <c r="DP845" s="177"/>
      <c r="DQ845" s="172"/>
      <c r="DR845" s="172"/>
      <c r="DS845" s="172"/>
      <c r="DT845" s="172"/>
      <c r="DU845" s="172"/>
      <c r="DV845" s="196"/>
    </row>
    <row r="846" spans="85:126" x14ac:dyDescent="0.2">
      <c r="CG846" s="179"/>
      <c r="CH846" s="169"/>
      <c r="CI846" s="177"/>
      <c r="CJ846" s="177"/>
      <c r="CK846" s="177"/>
      <c r="CL846" s="177"/>
      <c r="CM846" s="177"/>
      <c r="CN846" s="177"/>
      <c r="CO846" s="177"/>
      <c r="CP846" s="177"/>
      <c r="CQ846" s="177"/>
      <c r="CR846" s="177"/>
      <c r="CS846" s="177"/>
      <c r="CT846" s="177"/>
      <c r="CU846" s="177"/>
      <c r="CV846" s="172"/>
      <c r="CW846" s="172"/>
      <c r="CX846" s="172"/>
      <c r="CY846" s="172"/>
      <c r="CZ846" s="172"/>
      <c r="DA846" s="196"/>
      <c r="DC846" s="169"/>
      <c r="DD846" s="177"/>
      <c r="DE846" s="177"/>
      <c r="DF846" s="177"/>
      <c r="DG846" s="177"/>
      <c r="DH846" s="177"/>
      <c r="DI846" s="177"/>
      <c r="DJ846" s="177"/>
      <c r="DK846" s="177"/>
      <c r="DL846" s="177"/>
      <c r="DM846" s="177"/>
      <c r="DN846" s="177"/>
      <c r="DO846" s="177"/>
      <c r="DP846" s="177"/>
      <c r="DQ846" s="172"/>
      <c r="DR846" s="172"/>
      <c r="DS846" s="172"/>
      <c r="DT846" s="172"/>
      <c r="DU846" s="172"/>
      <c r="DV846" s="196"/>
    </row>
    <row r="847" spans="85:126" x14ac:dyDescent="0.2">
      <c r="CG847" s="179"/>
      <c r="CH847" s="169"/>
      <c r="CI847" s="177"/>
      <c r="CJ847" s="177"/>
      <c r="CK847" s="177"/>
      <c r="CL847" s="177"/>
      <c r="CM847" s="177"/>
      <c r="CN847" s="177"/>
      <c r="CO847" s="177"/>
      <c r="CP847" s="177"/>
      <c r="CQ847" s="177"/>
      <c r="CR847" s="177"/>
      <c r="CS847" s="177"/>
      <c r="CT847" s="177"/>
      <c r="CU847" s="177"/>
      <c r="CV847" s="172"/>
      <c r="CW847" s="172"/>
      <c r="CX847" s="172"/>
      <c r="CY847" s="172"/>
      <c r="CZ847" s="172"/>
      <c r="DA847" s="196"/>
      <c r="DC847" s="169"/>
      <c r="DD847" s="177"/>
      <c r="DE847" s="177"/>
      <c r="DF847" s="177"/>
      <c r="DG847" s="177"/>
      <c r="DH847" s="177"/>
      <c r="DI847" s="177"/>
      <c r="DJ847" s="177"/>
      <c r="DK847" s="177"/>
      <c r="DL847" s="177"/>
      <c r="DM847" s="177"/>
      <c r="DN847" s="177"/>
      <c r="DO847" s="177"/>
      <c r="DP847" s="177"/>
      <c r="DQ847" s="172"/>
      <c r="DR847" s="172"/>
      <c r="DS847" s="172"/>
      <c r="DT847" s="172"/>
      <c r="DU847" s="172"/>
      <c r="DV847" s="196"/>
    </row>
    <row r="848" spans="85:126" x14ac:dyDescent="0.2">
      <c r="CG848" s="179"/>
      <c r="CH848" s="169"/>
      <c r="CI848" s="177"/>
      <c r="CJ848" s="177"/>
      <c r="CK848" s="177"/>
      <c r="CL848" s="177"/>
      <c r="CM848" s="177"/>
      <c r="CN848" s="177"/>
      <c r="CO848" s="177"/>
      <c r="CP848" s="177"/>
      <c r="CQ848" s="177"/>
      <c r="CR848" s="177"/>
      <c r="CS848" s="177"/>
      <c r="CT848" s="177"/>
      <c r="CU848" s="177"/>
      <c r="CV848" s="172"/>
      <c r="CW848" s="172"/>
      <c r="CX848" s="172"/>
      <c r="CY848" s="172"/>
      <c r="CZ848" s="172"/>
      <c r="DA848" s="196"/>
      <c r="DC848" s="169"/>
      <c r="DD848" s="177"/>
      <c r="DE848" s="177"/>
      <c r="DF848" s="177"/>
      <c r="DG848" s="177"/>
      <c r="DH848" s="177"/>
      <c r="DI848" s="177"/>
      <c r="DJ848" s="177"/>
      <c r="DK848" s="177"/>
      <c r="DL848" s="177"/>
      <c r="DM848" s="177"/>
      <c r="DN848" s="177"/>
      <c r="DO848" s="177"/>
      <c r="DP848" s="177"/>
      <c r="DQ848" s="172"/>
      <c r="DR848" s="172"/>
      <c r="DS848" s="172"/>
      <c r="DT848" s="172"/>
      <c r="DU848" s="172"/>
      <c r="DV848" s="196"/>
    </row>
    <row r="849" spans="85:126" x14ac:dyDescent="0.2">
      <c r="CG849" s="179"/>
      <c r="CH849" s="169"/>
      <c r="CI849" s="177"/>
      <c r="CJ849" s="177"/>
      <c r="CK849" s="177"/>
      <c r="CL849" s="177"/>
      <c r="CM849" s="177"/>
      <c r="CN849" s="177"/>
      <c r="CO849" s="177"/>
      <c r="CP849" s="177"/>
      <c r="CQ849" s="177"/>
      <c r="CR849" s="177"/>
      <c r="CS849" s="177"/>
      <c r="CT849" s="177"/>
      <c r="CU849" s="177"/>
      <c r="CV849" s="172"/>
      <c r="CW849" s="172"/>
      <c r="CX849" s="172"/>
      <c r="CY849" s="172"/>
      <c r="CZ849" s="172"/>
      <c r="DA849" s="196"/>
      <c r="DC849" s="169"/>
      <c r="DD849" s="177"/>
      <c r="DE849" s="177"/>
      <c r="DF849" s="177"/>
      <c r="DG849" s="177"/>
      <c r="DH849" s="177"/>
      <c r="DI849" s="177"/>
      <c r="DJ849" s="177"/>
      <c r="DK849" s="177"/>
      <c r="DL849" s="177"/>
      <c r="DM849" s="177"/>
      <c r="DN849" s="177"/>
      <c r="DO849" s="177"/>
      <c r="DP849" s="177"/>
      <c r="DQ849" s="172"/>
      <c r="DR849" s="172"/>
      <c r="DS849" s="172"/>
      <c r="DT849" s="172"/>
      <c r="DU849" s="172"/>
      <c r="DV849" s="196"/>
    </row>
    <row r="850" spans="85:126" x14ac:dyDescent="0.2">
      <c r="CG850" s="179"/>
      <c r="CH850" s="169"/>
      <c r="CI850" s="177"/>
      <c r="CJ850" s="177"/>
      <c r="CK850" s="177"/>
      <c r="CL850" s="177"/>
      <c r="CM850" s="177"/>
      <c r="CN850" s="177"/>
      <c r="CO850" s="177"/>
      <c r="CP850" s="177"/>
      <c r="CQ850" s="177"/>
      <c r="CR850" s="177"/>
      <c r="CS850" s="177"/>
      <c r="CT850" s="177"/>
      <c r="CU850" s="177"/>
      <c r="CV850" s="172"/>
      <c r="CW850" s="172"/>
      <c r="CX850" s="172"/>
      <c r="CY850" s="172"/>
      <c r="CZ850" s="172"/>
      <c r="DA850" s="196"/>
      <c r="DC850" s="169"/>
      <c r="DD850" s="177"/>
      <c r="DE850" s="177"/>
      <c r="DF850" s="177"/>
      <c r="DG850" s="177"/>
      <c r="DH850" s="177"/>
      <c r="DI850" s="177"/>
      <c r="DJ850" s="177"/>
      <c r="DK850" s="177"/>
      <c r="DL850" s="177"/>
      <c r="DM850" s="177"/>
      <c r="DN850" s="177"/>
      <c r="DO850" s="177"/>
      <c r="DP850" s="177"/>
      <c r="DQ850" s="172"/>
      <c r="DR850" s="172"/>
      <c r="DS850" s="172"/>
      <c r="DT850" s="172"/>
      <c r="DU850" s="172"/>
      <c r="DV850" s="196"/>
    </row>
    <row r="851" spans="85:126" x14ac:dyDescent="0.2">
      <c r="CG851" s="179"/>
      <c r="CH851" s="169"/>
      <c r="CI851" s="177"/>
      <c r="CJ851" s="177"/>
      <c r="CK851" s="177"/>
      <c r="CL851" s="177"/>
      <c r="CM851" s="177"/>
      <c r="CN851" s="177"/>
      <c r="CO851" s="177"/>
      <c r="CP851" s="177"/>
      <c r="CQ851" s="177"/>
      <c r="CR851" s="177"/>
      <c r="CS851" s="177"/>
      <c r="CT851" s="177"/>
      <c r="CU851" s="177"/>
      <c r="CV851" s="172"/>
      <c r="CW851" s="172"/>
      <c r="CX851" s="172"/>
      <c r="CY851" s="172"/>
      <c r="CZ851" s="172"/>
      <c r="DA851" s="196"/>
      <c r="DC851" s="169"/>
      <c r="DD851" s="177"/>
      <c r="DE851" s="177"/>
      <c r="DF851" s="177"/>
      <c r="DG851" s="177"/>
      <c r="DH851" s="177"/>
      <c r="DI851" s="177"/>
      <c r="DJ851" s="177"/>
      <c r="DK851" s="177"/>
      <c r="DL851" s="177"/>
      <c r="DM851" s="177"/>
      <c r="DN851" s="177"/>
      <c r="DO851" s="177"/>
      <c r="DP851" s="177"/>
      <c r="DQ851" s="172"/>
      <c r="DR851" s="172"/>
      <c r="DS851" s="172"/>
      <c r="DT851" s="172"/>
      <c r="DU851" s="172"/>
      <c r="DV851" s="196"/>
    </row>
    <row r="852" spans="85:126" x14ac:dyDescent="0.2">
      <c r="CG852" s="179"/>
      <c r="CH852" s="169"/>
      <c r="CI852" s="177"/>
      <c r="CJ852" s="177"/>
      <c r="CK852" s="177"/>
      <c r="CL852" s="177"/>
      <c r="CM852" s="177"/>
      <c r="CN852" s="177"/>
      <c r="CO852" s="177"/>
      <c r="CP852" s="177"/>
      <c r="CQ852" s="177"/>
      <c r="CR852" s="177"/>
      <c r="CS852" s="177"/>
      <c r="CT852" s="177"/>
      <c r="CU852" s="177"/>
      <c r="CV852" s="172"/>
      <c r="CW852" s="172"/>
      <c r="CX852" s="172"/>
      <c r="CY852" s="172"/>
      <c r="CZ852" s="172"/>
      <c r="DA852" s="196"/>
      <c r="DC852" s="169"/>
      <c r="DD852" s="177"/>
      <c r="DE852" s="177"/>
      <c r="DF852" s="177"/>
      <c r="DG852" s="177"/>
      <c r="DH852" s="177"/>
      <c r="DI852" s="177"/>
      <c r="DJ852" s="177"/>
      <c r="DK852" s="177"/>
      <c r="DL852" s="177"/>
      <c r="DM852" s="177"/>
      <c r="DN852" s="177"/>
      <c r="DO852" s="177"/>
      <c r="DP852" s="177"/>
      <c r="DQ852" s="172"/>
      <c r="DR852" s="172"/>
      <c r="DS852" s="172"/>
      <c r="DT852" s="172"/>
      <c r="DU852" s="172"/>
      <c r="DV852" s="196"/>
    </row>
    <row r="853" spans="85:126" x14ac:dyDescent="0.2">
      <c r="CG853" s="179"/>
      <c r="CH853" s="197"/>
      <c r="CI853" s="180"/>
      <c r="CJ853" s="180"/>
      <c r="CK853" s="180"/>
      <c r="CL853" s="180"/>
      <c r="CM853" s="180"/>
      <c r="CN853" s="180"/>
      <c r="CO853" s="180"/>
      <c r="CP853" s="180"/>
      <c r="CQ853" s="180"/>
      <c r="CR853" s="180"/>
      <c r="CS853" s="180"/>
      <c r="CT853" s="180"/>
      <c r="CU853" s="180"/>
      <c r="CV853" s="173"/>
      <c r="CW853" s="173"/>
      <c r="CX853" s="173"/>
      <c r="CY853" s="173"/>
      <c r="CZ853" s="173"/>
      <c r="DA853" s="198"/>
      <c r="DC853" s="197"/>
      <c r="DD853" s="180"/>
      <c r="DE853" s="180"/>
      <c r="DF853" s="180"/>
      <c r="DG853" s="180"/>
      <c r="DH853" s="180"/>
      <c r="DI853" s="180"/>
      <c r="DJ853" s="180"/>
      <c r="DK853" s="180"/>
      <c r="DL853" s="180"/>
      <c r="DM853" s="180"/>
      <c r="DN853" s="180"/>
      <c r="DO853" s="180"/>
      <c r="DP853" s="180"/>
      <c r="DQ853" s="173"/>
      <c r="DR853" s="173"/>
      <c r="DS853" s="173"/>
      <c r="DT853" s="173"/>
      <c r="DU853" s="173"/>
      <c r="DV853" s="198"/>
    </row>
    <row r="854" spans="85:126" x14ac:dyDescent="0.2">
      <c r="CG854" s="179"/>
      <c r="CH854" s="197"/>
      <c r="CI854" s="180"/>
      <c r="CJ854" s="180"/>
      <c r="CK854" s="180"/>
      <c r="CL854" s="180"/>
      <c r="CM854" s="180"/>
      <c r="CN854" s="180"/>
      <c r="CO854" s="180"/>
      <c r="CP854" s="180"/>
      <c r="CQ854" s="180"/>
      <c r="CR854" s="180"/>
      <c r="CS854" s="180"/>
      <c r="CT854" s="180"/>
      <c r="CU854" s="180"/>
      <c r="CV854" s="173"/>
      <c r="CW854" s="173"/>
      <c r="CX854" s="173"/>
      <c r="CY854" s="173"/>
      <c r="CZ854" s="173"/>
      <c r="DA854" s="198"/>
      <c r="DC854" s="197"/>
      <c r="DD854" s="180"/>
      <c r="DE854" s="180"/>
      <c r="DF854" s="180"/>
      <c r="DG854" s="180"/>
      <c r="DH854" s="180"/>
      <c r="DI854" s="180"/>
      <c r="DJ854" s="180"/>
      <c r="DK854" s="180"/>
      <c r="DL854" s="180"/>
      <c r="DM854" s="180"/>
      <c r="DN854" s="180"/>
      <c r="DO854" s="180"/>
      <c r="DP854" s="180"/>
      <c r="DQ854" s="173"/>
      <c r="DR854" s="173"/>
      <c r="DS854" s="173"/>
      <c r="DT854" s="173"/>
      <c r="DU854" s="173"/>
      <c r="DV854" s="198"/>
    </row>
    <row r="855" spans="85:126" x14ac:dyDescent="0.2">
      <c r="CG855" s="179"/>
      <c r="CH855" s="197"/>
      <c r="CI855" s="180"/>
      <c r="CJ855" s="180"/>
      <c r="CK855" s="180"/>
      <c r="CL855" s="180"/>
      <c r="CM855" s="180"/>
      <c r="CN855" s="180"/>
      <c r="CO855" s="180"/>
      <c r="CP855" s="180"/>
      <c r="CQ855" s="180"/>
      <c r="CR855" s="180"/>
      <c r="CS855" s="180"/>
      <c r="CT855" s="180"/>
      <c r="CU855" s="180"/>
      <c r="CV855" s="173"/>
      <c r="CW855" s="173"/>
      <c r="CX855" s="173"/>
      <c r="CY855" s="173"/>
      <c r="CZ855" s="173"/>
      <c r="DA855" s="198"/>
      <c r="DC855" s="197"/>
      <c r="DD855" s="180"/>
      <c r="DE855" s="180"/>
      <c r="DF855" s="180"/>
      <c r="DG855" s="180"/>
      <c r="DH855" s="180"/>
      <c r="DI855" s="180"/>
      <c r="DJ855" s="180"/>
      <c r="DK855" s="180"/>
      <c r="DL855" s="180"/>
      <c r="DM855" s="180"/>
      <c r="DN855" s="180"/>
      <c r="DO855" s="180"/>
      <c r="DP855" s="180"/>
      <c r="DQ855" s="173"/>
      <c r="DR855" s="173"/>
      <c r="DS855" s="173"/>
      <c r="DT855" s="173"/>
      <c r="DU855" s="173"/>
      <c r="DV855" s="198"/>
    </row>
    <row r="856" spans="85:126" x14ac:dyDescent="0.2">
      <c r="CG856" s="179"/>
      <c r="CH856" s="197"/>
      <c r="CI856" s="180"/>
      <c r="CJ856" s="180"/>
      <c r="CK856" s="180"/>
      <c r="CL856" s="180"/>
      <c r="CM856" s="180"/>
      <c r="CN856" s="180"/>
      <c r="CO856" s="180"/>
      <c r="CP856" s="180"/>
      <c r="CQ856" s="180"/>
      <c r="CR856" s="180"/>
      <c r="CS856" s="180"/>
      <c r="CT856" s="180"/>
      <c r="CU856" s="180"/>
      <c r="CV856" s="173"/>
      <c r="CW856" s="173"/>
      <c r="CX856" s="173"/>
      <c r="CY856" s="173"/>
      <c r="CZ856" s="173"/>
      <c r="DA856" s="198"/>
      <c r="DC856" s="197"/>
      <c r="DD856" s="180"/>
      <c r="DE856" s="180"/>
      <c r="DF856" s="180"/>
      <c r="DG856" s="180"/>
      <c r="DH856" s="180"/>
      <c r="DI856" s="180"/>
      <c r="DJ856" s="180"/>
      <c r="DK856" s="180"/>
      <c r="DL856" s="180"/>
      <c r="DM856" s="180"/>
      <c r="DN856" s="180"/>
      <c r="DO856" s="180"/>
      <c r="DP856" s="180"/>
      <c r="DQ856" s="173"/>
      <c r="DR856" s="173"/>
      <c r="DS856" s="173"/>
      <c r="DT856" s="173"/>
      <c r="DU856" s="173"/>
      <c r="DV856" s="198"/>
    </row>
    <row r="857" spans="85:126" x14ac:dyDescent="0.2">
      <c r="CG857" s="179"/>
      <c r="CH857" s="197"/>
      <c r="CI857" s="180"/>
      <c r="CJ857" s="180"/>
      <c r="CK857" s="180"/>
      <c r="CL857" s="180"/>
      <c r="CM857" s="180"/>
      <c r="CN857" s="180"/>
      <c r="CO857" s="180"/>
      <c r="CP857" s="180"/>
      <c r="CQ857" s="180"/>
      <c r="CR857" s="180"/>
      <c r="CS857" s="180"/>
      <c r="CT857" s="180"/>
      <c r="CU857" s="180"/>
      <c r="CV857" s="173"/>
      <c r="CW857" s="173"/>
      <c r="CX857" s="173"/>
      <c r="CY857" s="173"/>
      <c r="CZ857" s="173"/>
      <c r="DA857" s="198"/>
      <c r="DC857" s="197"/>
      <c r="DD857" s="180"/>
      <c r="DE857" s="180"/>
      <c r="DF857" s="180"/>
      <c r="DG857" s="180"/>
      <c r="DH857" s="180"/>
      <c r="DI857" s="180"/>
      <c r="DJ857" s="180"/>
      <c r="DK857" s="180"/>
      <c r="DL857" s="180"/>
      <c r="DM857" s="180"/>
      <c r="DN857" s="180"/>
      <c r="DO857" s="180"/>
      <c r="DP857" s="180"/>
      <c r="DQ857" s="173"/>
      <c r="DR857" s="173"/>
      <c r="DS857" s="173"/>
      <c r="DT857" s="173"/>
      <c r="DU857" s="173"/>
      <c r="DV857" s="198"/>
    </row>
    <row r="858" spans="85:126" x14ac:dyDescent="0.2">
      <c r="CG858" s="176"/>
      <c r="CH858" s="197"/>
      <c r="CI858" s="180"/>
      <c r="CJ858" s="180"/>
      <c r="CK858" s="180"/>
      <c r="CL858" s="180"/>
      <c r="CM858" s="180"/>
      <c r="CN858" s="180"/>
      <c r="CO858" s="180"/>
      <c r="CP858" s="180"/>
      <c r="CQ858" s="180"/>
      <c r="CR858" s="180"/>
      <c r="CS858" s="180"/>
      <c r="CT858" s="180"/>
      <c r="CU858" s="180"/>
      <c r="CV858" s="173"/>
      <c r="CW858" s="173"/>
      <c r="CX858" s="173"/>
      <c r="CY858" s="173"/>
      <c r="CZ858" s="173"/>
      <c r="DA858" s="198"/>
      <c r="DC858" s="197"/>
      <c r="DD858" s="180"/>
      <c r="DE858" s="180"/>
      <c r="DF858" s="180"/>
      <c r="DG858" s="180"/>
      <c r="DH858" s="180"/>
      <c r="DI858" s="180"/>
      <c r="DJ858" s="180"/>
      <c r="DK858" s="180"/>
      <c r="DL858" s="180"/>
      <c r="DM858" s="180"/>
      <c r="DN858" s="180"/>
      <c r="DO858" s="180"/>
      <c r="DP858" s="180"/>
      <c r="DQ858" s="173"/>
      <c r="DR858" s="173"/>
      <c r="DS858" s="173"/>
      <c r="DT858" s="173"/>
      <c r="DU858" s="173"/>
      <c r="DV858" s="198"/>
    </row>
    <row r="859" spans="85:126" x14ac:dyDescent="0.2">
      <c r="CG859" s="176"/>
      <c r="CH859" s="197"/>
      <c r="CI859" s="180"/>
      <c r="CJ859" s="180"/>
      <c r="CK859" s="180"/>
      <c r="CL859" s="180"/>
      <c r="CM859" s="180"/>
      <c r="CN859" s="180"/>
      <c r="CO859" s="180"/>
      <c r="CP859" s="180"/>
      <c r="CQ859" s="180"/>
      <c r="CR859" s="180"/>
      <c r="CS859" s="180"/>
      <c r="CT859" s="180"/>
      <c r="CU859" s="180"/>
      <c r="CV859" s="173"/>
      <c r="CW859" s="173"/>
      <c r="CX859" s="173"/>
      <c r="CY859" s="173"/>
      <c r="CZ859" s="173"/>
      <c r="DA859" s="198"/>
      <c r="DC859" s="197"/>
      <c r="DD859" s="180"/>
      <c r="DE859" s="180"/>
      <c r="DF859" s="180"/>
      <c r="DG859" s="180"/>
      <c r="DH859" s="180"/>
      <c r="DI859" s="180"/>
      <c r="DJ859" s="180"/>
      <c r="DK859" s="180"/>
      <c r="DL859" s="180"/>
      <c r="DM859" s="180"/>
      <c r="DN859" s="180"/>
      <c r="DO859" s="180"/>
      <c r="DP859" s="180"/>
      <c r="DQ859" s="173"/>
      <c r="DR859" s="173"/>
      <c r="DS859" s="173"/>
      <c r="DT859" s="173"/>
      <c r="DU859" s="173"/>
      <c r="DV859" s="198"/>
    </row>
    <row r="860" spans="85:126" x14ac:dyDescent="0.2">
      <c r="CG860" s="176"/>
      <c r="CH860" s="199"/>
      <c r="CI860" s="200"/>
      <c r="CJ860" s="200"/>
      <c r="CK860" s="200"/>
      <c r="CL860" s="200"/>
      <c r="CM860" s="200"/>
      <c r="CN860" s="200"/>
      <c r="CO860" s="200"/>
      <c r="CP860" s="200"/>
      <c r="CQ860" s="201"/>
      <c r="CR860" s="202"/>
      <c r="CS860" s="200"/>
      <c r="CT860" s="200"/>
      <c r="CU860" s="200"/>
      <c r="CV860" s="203"/>
      <c r="CW860" s="203"/>
      <c r="CX860" s="203"/>
      <c r="CY860" s="203"/>
      <c r="CZ860" s="203"/>
      <c r="DA860" s="204"/>
      <c r="DC860" s="199"/>
      <c r="DD860" s="200"/>
      <c r="DE860" s="200"/>
      <c r="DF860" s="200"/>
      <c r="DG860" s="200"/>
      <c r="DH860" s="200"/>
      <c r="DI860" s="200"/>
      <c r="DJ860" s="200"/>
      <c r="DK860" s="200"/>
      <c r="DL860" s="200"/>
      <c r="DM860" s="200"/>
      <c r="DN860" s="200"/>
      <c r="DO860" s="200"/>
      <c r="DP860" s="200"/>
      <c r="DQ860" s="203"/>
      <c r="DR860" s="203"/>
      <c r="DS860" s="203"/>
      <c r="DT860" s="203"/>
      <c r="DU860" s="203"/>
      <c r="DV860" s="204"/>
    </row>
    <row r="861" spans="85:126" x14ac:dyDescent="0.2">
      <c r="CG861" s="176">
        <v>44</v>
      </c>
      <c r="CH861" s="192"/>
      <c r="CI861" s="193"/>
      <c r="CJ861" s="193"/>
      <c r="CK861" s="193"/>
      <c r="CL861" s="193"/>
      <c r="CM861" s="193"/>
      <c r="CN861" s="193"/>
      <c r="CO861" s="193"/>
      <c r="CP861" s="193"/>
      <c r="CQ861" s="193"/>
      <c r="CR861" s="193"/>
      <c r="CS861" s="193"/>
      <c r="CT861" s="193"/>
      <c r="CU861" s="193"/>
      <c r="CV861" s="194"/>
      <c r="CW861" s="194"/>
      <c r="CX861" s="194"/>
      <c r="CY861" s="194"/>
      <c r="CZ861" s="194"/>
      <c r="DA861" s="195"/>
      <c r="DC861" s="192"/>
      <c r="DD861" s="193"/>
      <c r="DE861" s="193"/>
      <c r="DF861" s="193"/>
      <c r="DG861" s="193"/>
      <c r="DH861" s="193"/>
      <c r="DI861" s="193"/>
      <c r="DJ861" s="193"/>
      <c r="DK861" s="193"/>
      <c r="DL861" s="193"/>
      <c r="DM861" s="193"/>
      <c r="DN861" s="193"/>
      <c r="DO861" s="193"/>
      <c r="DP861" s="193"/>
      <c r="DQ861" s="194"/>
      <c r="DR861" s="194"/>
      <c r="DS861" s="194"/>
      <c r="DT861" s="194"/>
      <c r="DU861" s="194"/>
      <c r="DV861" s="195"/>
    </row>
    <row r="862" spans="85:126" x14ac:dyDescent="0.2">
      <c r="CG862" s="176"/>
      <c r="CH862" s="169"/>
      <c r="CI862" s="177"/>
      <c r="CJ862" s="177"/>
      <c r="CK862" s="177"/>
      <c r="CL862" s="177"/>
      <c r="CM862" s="177"/>
      <c r="CN862" s="177"/>
      <c r="CO862" s="177"/>
      <c r="CP862" s="177"/>
      <c r="CQ862" s="177"/>
      <c r="CR862" s="177"/>
      <c r="CS862" s="177"/>
      <c r="CT862" s="177"/>
      <c r="CU862" s="177"/>
      <c r="CV862" s="172"/>
      <c r="CW862" s="172"/>
      <c r="CX862" s="172"/>
      <c r="CY862" s="172"/>
      <c r="CZ862" s="172"/>
      <c r="DA862" s="196"/>
      <c r="DC862" s="169"/>
      <c r="DD862" s="177"/>
      <c r="DE862" s="177"/>
      <c r="DF862" s="177"/>
      <c r="DG862" s="177"/>
      <c r="DH862" s="177"/>
      <c r="DI862" s="177"/>
      <c r="DJ862" s="177"/>
      <c r="DK862" s="177"/>
      <c r="DL862" s="177"/>
      <c r="DM862" s="177"/>
      <c r="DN862" s="177"/>
      <c r="DO862" s="177"/>
      <c r="DP862" s="177"/>
      <c r="DQ862" s="172"/>
      <c r="DR862" s="172"/>
      <c r="DS862" s="172"/>
      <c r="DT862" s="172"/>
      <c r="DU862" s="172"/>
      <c r="DV862" s="196"/>
    </row>
    <row r="863" spans="85:126" x14ac:dyDescent="0.2">
      <c r="CG863" s="131"/>
      <c r="CH863" s="169"/>
      <c r="CI863" s="177"/>
      <c r="CJ863" s="177"/>
      <c r="CK863" s="177"/>
      <c r="CL863" s="177"/>
      <c r="CM863" s="177"/>
      <c r="CN863" s="177"/>
      <c r="CO863" s="177"/>
      <c r="CP863" s="177"/>
      <c r="CQ863" s="177"/>
      <c r="CR863" s="177"/>
      <c r="CS863" s="177"/>
      <c r="CT863" s="177"/>
      <c r="CU863" s="177"/>
      <c r="CV863" s="172"/>
      <c r="CW863" s="172"/>
      <c r="CX863" s="172"/>
      <c r="CY863" s="172"/>
      <c r="CZ863" s="172"/>
      <c r="DA863" s="196"/>
      <c r="DC863" s="169"/>
      <c r="DD863" s="177"/>
      <c r="DE863" s="177"/>
      <c r="DF863" s="177"/>
      <c r="DG863" s="177"/>
      <c r="DH863" s="177"/>
      <c r="DI863" s="177"/>
      <c r="DJ863" s="177"/>
      <c r="DK863" s="177"/>
      <c r="DL863" s="177"/>
      <c r="DM863" s="177"/>
      <c r="DN863" s="177"/>
      <c r="DO863" s="177"/>
      <c r="DP863" s="177"/>
      <c r="DQ863" s="172"/>
      <c r="DR863" s="172"/>
      <c r="DS863" s="172"/>
      <c r="DT863" s="172"/>
      <c r="DU863" s="172"/>
      <c r="DV863" s="196"/>
    </row>
    <row r="864" spans="85:126" x14ac:dyDescent="0.2">
      <c r="CG864" s="176"/>
      <c r="CH864" s="169"/>
      <c r="CI864" s="177"/>
      <c r="CJ864" s="177"/>
      <c r="CK864" s="177"/>
      <c r="CL864" s="177"/>
      <c r="CM864" s="177"/>
      <c r="CN864" s="177"/>
      <c r="CO864" s="177"/>
      <c r="CP864" s="177"/>
      <c r="CQ864" s="177"/>
      <c r="CR864" s="177"/>
      <c r="CS864" s="177"/>
      <c r="CT864" s="177"/>
      <c r="CU864" s="177"/>
      <c r="CV864" s="172"/>
      <c r="CW864" s="172"/>
      <c r="CX864" s="172"/>
      <c r="CY864" s="172"/>
      <c r="CZ864" s="172"/>
      <c r="DA864" s="196"/>
      <c r="DC864" s="169"/>
      <c r="DD864" s="177"/>
      <c r="DE864" s="177"/>
      <c r="DF864" s="177"/>
      <c r="DG864" s="177"/>
      <c r="DH864" s="177"/>
      <c r="DI864" s="177"/>
      <c r="DJ864" s="177"/>
      <c r="DK864" s="177"/>
      <c r="DL864" s="177"/>
      <c r="DM864" s="177"/>
      <c r="DN864" s="177"/>
      <c r="DO864" s="177"/>
      <c r="DP864" s="177"/>
      <c r="DQ864" s="172"/>
      <c r="DR864" s="172"/>
      <c r="DS864" s="172"/>
      <c r="DT864" s="172"/>
      <c r="DU864" s="172"/>
      <c r="DV864" s="196"/>
    </row>
    <row r="865" spans="85:126" x14ac:dyDescent="0.2">
      <c r="CG865" s="178"/>
      <c r="CH865" s="169"/>
      <c r="CI865" s="177"/>
      <c r="CJ865" s="177"/>
      <c r="CK865" s="177"/>
      <c r="CL865" s="177"/>
      <c r="CM865" s="177"/>
      <c r="CN865" s="177"/>
      <c r="CO865" s="177"/>
      <c r="CP865" s="177"/>
      <c r="CQ865" s="177"/>
      <c r="CR865" s="177"/>
      <c r="CS865" s="177"/>
      <c r="CT865" s="177"/>
      <c r="CU865" s="177"/>
      <c r="CV865" s="172"/>
      <c r="CW865" s="172"/>
      <c r="CX865" s="172"/>
      <c r="CY865" s="172"/>
      <c r="CZ865" s="172"/>
      <c r="DA865" s="196"/>
      <c r="DC865" s="169"/>
      <c r="DD865" s="177"/>
      <c r="DE865" s="177"/>
      <c r="DF865" s="177"/>
      <c r="DG865" s="177"/>
      <c r="DH865" s="177"/>
      <c r="DI865" s="177"/>
      <c r="DJ865" s="177"/>
      <c r="DK865" s="177"/>
      <c r="DL865" s="177"/>
      <c r="DM865" s="177"/>
      <c r="DN865" s="177"/>
      <c r="DO865" s="177"/>
      <c r="DP865" s="177"/>
      <c r="DQ865" s="172"/>
      <c r="DR865" s="172"/>
      <c r="DS865" s="172"/>
      <c r="DT865" s="172"/>
      <c r="DU865" s="172"/>
      <c r="DV865" s="196"/>
    </row>
    <row r="866" spans="85:126" x14ac:dyDescent="0.2">
      <c r="CG866" s="179"/>
      <c r="CH866" s="169"/>
      <c r="CI866" s="177"/>
      <c r="CJ866" s="177"/>
      <c r="CK866" s="177"/>
      <c r="CL866" s="177"/>
      <c r="CM866" s="177"/>
      <c r="CN866" s="177"/>
      <c r="CO866" s="177"/>
      <c r="CP866" s="177"/>
      <c r="CQ866" s="177"/>
      <c r="CR866" s="177"/>
      <c r="CS866" s="177"/>
      <c r="CT866" s="177"/>
      <c r="CU866" s="177"/>
      <c r="CV866" s="172"/>
      <c r="CW866" s="172"/>
      <c r="CX866" s="172"/>
      <c r="CY866" s="172"/>
      <c r="CZ866" s="172"/>
      <c r="DA866" s="196"/>
      <c r="DC866" s="169"/>
      <c r="DD866" s="177"/>
      <c r="DE866" s="177"/>
      <c r="DF866" s="177"/>
      <c r="DG866" s="177"/>
      <c r="DH866" s="177"/>
      <c r="DI866" s="177"/>
      <c r="DJ866" s="177"/>
      <c r="DK866" s="177"/>
      <c r="DL866" s="177"/>
      <c r="DM866" s="177"/>
      <c r="DN866" s="177"/>
      <c r="DO866" s="177"/>
      <c r="DP866" s="177"/>
      <c r="DQ866" s="172"/>
      <c r="DR866" s="172"/>
      <c r="DS866" s="172"/>
      <c r="DT866" s="172"/>
      <c r="DU866" s="172"/>
      <c r="DV866" s="196"/>
    </row>
    <row r="867" spans="85:126" x14ac:dyDescent="0.2">
      <c r="CG867" s="179"/>
      <c r="CH867" s="169"/>
      <c r="CI867" s="177"/>
      <c r="CJ867" s="177"/>
      <c r="CK867" s="177"/>
      <c r="CL867" s="177"/>
      <c r="CM867" s="177"/>
      <c r="CN867" s="177"/>
      <c r="CO867" s="177"/>
      <c r="CP867" s="177"/>
      <c r="CQ867" s="177"/>
      <c r="CR867" s="177"/>
      <c r="CS867" s="177"/>
      <c r="CT867" s="177"/>
      <c r="CU867" s="177"/>
      <c r="CV867" s="172"/>
      <c r="CW867" s="172"/>
      <c r="CX867" s="172"/>
      <c r="CY867" s="172"/>
      <c r="CZ867" s="172"/>
      <c r="DA867" s="196"/>
      <c r="DC867" s="169"/>
      <c r="DD867" s="177"/>
      <c r="DE867" s="177"/>
      <c r="DF867" s="177"/>
      <c r="DG867" s="177"/>
      <c r="DH867" s="177"/>
      <c r="DI867" s="177"/>
      <c r="DJ867" s="177"/>
      <c r="DK867" s="177"/>
      <c r="DL867" s="177"/>
      <c r="DM867" s="177"/>
      <c r="DN867" s="177"/>
      <c r="DO867" s="177"/>
      <c r="DP867" s="177"/>
      <c r="DQ867" s="172"/>
      <c r="DR867" s="172"/>
      <c r="DS867" s="172"/>
      <c r="DT867" s="172"/>
      <c r="DU867" s="172"/>
      <c r="DV867" s="196"/>
    </row>
    <row r="868" spans="85:126" x14ac:dyDescent="0.2">
      <c r="CG868" s="179"/>
      <c r="CH868" s="169"/>
      <c r="CI868" s="177"/>
      <c r="CJ868" s="177"/>
      <c r="CK868" s="177"/>
      <c r="CL868" s="177"/>
      <c r="CM868" s="177"/>
      <c r="CN868" s="177"/>
      <c r="CO868" s="177"/>
      <c r="CP868" s="177"/>
      <c r="CQ868" s="177"/>
      <c r="CR868" s="177"/>
      <c r="CS868" s="177"/>
      <c r="CT868" s="177"/>
      <c r="CU868" s="177"/>
      <c r="CV868" s="172"/>
      <c r="CW868" s="172"/>
      <c r="CX868" s="172"/>
      <c r="CY868" s="172"/>
      <c r="CZ868" s="172"/>
      <c r="DA868" s="196"/>
      <c r="DC868" s="169"/>
      <c r="DD868" s="177"/>
      <c r="DE868" s="177"/>
      <c r="DF868" s="177"/>
      <c r="DG868" s="177"/>
      <c r="DH868" s="177"/>
      <c r="DI868" s="177"/>
      <c r="DJ868" s="177"/>
      <c r="DK868" s="177"/>
      <c r="DL868" s="177"/>
      <c r="DM868" s="177"/>
      <c r="DN868" s="177"/>
      <c r="DO868" s="177"/>
      <c r="DP868" s="177"/>
      <c r="DQ868" s="172"/>
      <c r="DR868" s="172"/>
      <c r="DS868" s="172"/>
      <c r="DT868" s="172"/>
      <c r="DU868" s="172"/>
      <c r="DV868" s="196"/>
    </row>
    <row r="869" spans="85:126" x14ac:dyDescent="0.2">
      <c r="CG869" s="179"/>
      <c r="CH869" s="169"/>
      <c r="CI869" s="177"/>
      <c r="CJ869" s="177"/>
      <c r="CK869" s="177"/>
      <c r="CL869" s="177"/>
      <c r="CM869" s="177"/>
      <c r="CN869" s="177"/>
      <c r="CO869" s="177"/>
      <c r="CP869" s="177"/>
      <c r="CQ869" s="177"/>
      <c r="CR869" s="177"/>
      <c r="CS869" s="177"/>
      <c r="CT869" s="177"/>
      <c r="CU869" s="177"/>
      <c r="CV869" s="172"/>
      <c r="CW869" s="172"/>
      <c r="CX869" s="172"/>
      <c r="CY869" s="172"/>
      <c r="CZ869" s="172"/>
      <c r="DA869" s="196"/>
      <c r="DC869" s="169"/>
      <c r="DD869" s="177"/>
      <c r="DE869" s="177"/>
      <c r="DF869" s="177"/>
      <c r="DG869" s="177"/>
      <c r="DH869" s="177"/>
      <c r="DI869" s="177"/>
      <c r="DJ869" s="177"/>
      <c r="DK869" s="177"/>
      <c r="DL869" s="177"/>
      <c r="DM869" s="177"/>
      <c r="DN869" s="177"/>
      <c r="DO869" s="177"/>
      <c r="DP869" s="177"/>
      <c r="DQ869" s="172"/>
      <c r="DR869" s="172"/>
      <c r="DS869" s="172"/>
      <c r="DT869" s="172"/>
      <c r="DU869" s="172"/>
      <c r="DV869" s="196"/>
    </row>
    <row r="870" spans="85:126" x14ac:dyDescent="0.2">
      <c r="CG870" s="179"/>
      <c r="CH870" s="169"/>
      <c r="CI870" s="177"/>
      <c r="CJ870" s="177"/>
      <c r="CK870" s="177"/>
      <c r="CL870" s="177"/>
      <c r="CM870" s="177"/>
      <c r="CN870" s="177"/>
      <c r="CO870" s="177"/>
      <c r="CP870" s="177"/>
      <c r="CQ870" s="177"/>
      <c r="CR870" s="177"/>
      <c r="CS870" s="177"/>
      <c r="CT870" s="177"/>
      <c r="CU870" s="177"/>
      <c r="CV870" s="172"/>
      <c r="CW870" s="172"/>
      <c r="CX870" s="172"/>
      <c r="CY870" s="172"/>
      <c r="CZ870" s="172"/>
      <c r="DA870" s="196"/>
      <c r="DC870" s="169"/>
      <c r="DD870" s="177"/>
      <c r="DE870" s="177"/>
      <c r="DF870" s="177"/>
      <c r="DG870" s="177"/>
      <c r="DH870" s="177"/>
      <c r="DI870" s="177"/>
      <c r="DJ870" s="177"/>
      <c r="DK870" s="177"/>
      <c r="DL870" s="177"/>
      <c r="DM870" s="177"/>
      <c r="DN870" s="177"/>
      <c r="DO870" s="177"/>
      <c r="DP870" s="177"/>
      <c r="DQ870" s="172"/>
      <c r="DR870" s="172"/>
      <c r="DS870" s="172"/>
      <c r="DT870" s="172"/>
      <c r="DU870" s="172"/>
      <c r="DV870" s="196"/>
    </row>
    <row r="871" spans="85:126" x14ac:dyDescent="0.2">
      <c r="CG871" s="179"/>
      <c r="CH871" s="169"/>
      <c r="CI871" s="177"/>
      <c r="CJ871" s="177"/>
      <c r="CK871" s="177"/>
      <c r="CL871" s="177"/>
      <c r="CM871" s="177"/>
      <c r="CN871" s="177"/>
      <c r="CO871" s="177"/>
      <c r="CP871" s="177"/>
      <c r="CQ871" s="177"/>
      <c r="CR871" s="177"/>
      <c r="CS871" s="177"/>
      <c r="CT871" s="177"/>
      <c r="CU871" s="177"/>
      <c r="CV871" s="172"/>
      <c r="CW871" s="172"/>
      <c r="CX871" s="172"/>
      <c r="CY871" s="172"/>
      <c r="CZ871" s="172"/>
      <c r="DA871" s="196"/>
      <c r="DC871" s="169"/>
      <c r="DD871" s="177"/>
      <c r="DE871" s="177"/>
      <c r="DF871" s="177"/>
      <c r="DG871" s="177"/>
      <c r="DH871" s="177"/>
      <c r="DI871" s="177"/>
      <c r="DJ871" s="177"/>
      <c r="DK871" s="177"/>
      <c r="DL871" s="177"/>
      <c r="DM871" s="177"/>
      <c r="DN871" s="177"/>
      <c r="DO871" s="177"/>
      <c r="DP871" s="177"/>
      <c r="DQ871" s="172"/>
      <c r="DR871" s="172"/>
      <c r="DS871" s="172"/>
      <c r="DT871" s="172"/>
      <c r="DU871" s="172"/>
      <c r="DV871" s="196"/>
    </row>
    <row r="872" spans="85:126" x14ac:dyDescent="0.2">
      <c r="CG872" s="179"/>
      <c r="CH872" s="169"/>
      <c r="CI872" s="177"/>
      <c r="CJ872" s="177"/>
      <c r="CK872" s="177"/>
      <c r="CL872" s="177"/>
      <c r="CM872" s="177"/>
      <c r="CN872" s="177"/>
      <c r="CO872" s="177"/>
      <c r="CP872" s="177"/>
      <c r="CQ872" s="177"/>
      <c r="CR872" s="177"/>
      <c r="CS872" s="177"/>
      <c r="CT872" s="177"/>
      <c r="CU872" s="177"/>
      <c r="CV872" s="172"/>
      <c r="CW872" s="172"/>
      <c r="CX872" s="172"/>
      <c r="CY872" s="172"/>
      <c r="CZ872" s="172"/>
      <c r="DA872" s="196"/>
      <c r="DC872" s="169"/>
      <c r="DD872" s="177"/>
      <c r="DE872" s="177"/>
      <c r="DF872" s="177"/>
      <c r="DG872" s="177"/>
      <c r="DH872" s="177"/>
      <c r="DI872" s="177"/>
      <c r="DJ872" s="177"/>
      <c r="DK872" s="177"/>
      <c r="DL872" s="177"/>
      <c r="DM872" s="177"/>
      <c r="DN872" s="177"/>
      <c r="DO872" s="177"/>
      <c r="DP872" s="177"/>
      <c r="DQ872" s="172"/>
      <c r="DR872" s="172"/>
      <c r="DS872" s="172"/>
      <c r="DT872" s="172"/>
      <c r="DU872" s="172"/>
      <c r="DV872" s="196"/>
    </row>
    <row r="873" spans="85:126" x14ac:dyDescent="0.2">
      <c r="CG873" s="179"/>
      <c r="CH873" s="197"/>
      <c r="CI873" s="180"/>
      <c r="CJ873" s="180"/>
      <c r="CK873" s="180"/>
      <c r="CL873" s="180"/>
      <c r="CM873" s="180"/>
      <c r="CN873" s="180"/>
      <c r="CO873" s="180"/>
      <c r="CP873" s="180"/>
      <c r="CQ873" s="180"/>
      <c r="CR873" s="180"/>
      <c r="CS873" s="180"/>
      <c r="CT873" s="180"/>
      <c r="CU873" s="180"/>
      <c r="CV873" s="173"/>
      <c r="CW873" s="173"/>
      <c r="CX873" s="173"/>
      <c r="CY873" s="173"/>
      <c r="CZ873" s="173"/>
      <c r="DA873" s="198"/>
      <c r="DC873" s="197"/>
      <c r="DD873" s="180"/>
      <c r="DE873" s="180"/>
      <c r="DF873" s="180"/>
      <c r="DG873" s="180"/>
      <c r="DH873" s="180"/>
      <c r="DI873" s="180"/>
      <c r="DJ873" s="180"/>
      <c r="DK873" s="180"/>
      <c r="DL873" s="180"/>
      <c r="DM873" s="180"/>
      <c r="DN873" s="180"/>
      <c r="DO873" s="180"/>
      <c r="DP873" s="180"/>
      <c r="DQ873" s="173"/>
      <c r="DR873" s="173"/>
      <c r="DS873" s="173"/>
      <c r="DT873" s="173"/>
      <c r="DU873" s="173"/>
      <c r="DV873" s="198"/>
    </row>
    <row r="874" spans="85:126" x14ac:dyDescent="0.2">
      <c r="CG874" s="179"/>
      <c r="CH874" s="197"/>
      <c r="CI874" s="180"/>
      <c r="CJ874" s="180"/>
      <c r="CK874" s="180"/>
      <c r="CL874" s="180"/>
      <c r="CM874" s="180"/>
      <c r="CN874" s="180"/>
      <c r="CO874" s="180"/>
      <c r="CP874" s="180"/>
      <c r="CQ874" s="180"/>
      <c r="CR874" s="180"/>
      <c r="CS874" s="180"/>
      <c r="CT874" s="180"/>
      <c r="CU874" s="180"/>
      <c r="CV874" s="173"/>
      <c r="CW874" s="173"/>
      <c r="CX874" s="173"/>
      <c r="CY874" s="173"/>
      <c r="CZ874" s="173"/>
      <c r="DA874" s="198"/>
      <c r="DC874" s="197"/>
      <c r="DD874" s="180"/>
      <c r="DE874" s="180"/>
      <c r="DF874" s="180"/>
      <c r="DG874" s="180"/>
      <c r="DH874" s="180"/>
      <c r="DI874" s="180"/>
      <c r="DJ874" s="180"/>
      <c r="DK874" s="180"/>
      <c r="DL874" s="180"/>
      <c r="DM874" s="180"/>
      <c r="DN874" s="180"/>
      <c r="DO874" s="180"/>
      <c r="DP874" s="180"/>
      <c r="DQ874" s="173"/>
      <c r="DR874" s="173"/>
      <c r="DS874" s="173"/>
      <c r="DT874" s="173"/>
      <c r="DU874" s="173"/>
      <c r="DV874" s="198"/>
    </row>
    <row r="875" spans="85:126" x14ac:dyDescent="0.2">
      <c r="CG875" s="179"/>
      <c r="CH875" s="197"/>
      <c r="CI875" s="180"/>
      <c r="CJ875" s="180"/>
      <c r="CK875" s="180"/>
      <c r="CL875" s="180"/>
      <c r="CM875" s="180"/>
      <c r="CN875" s="180"/>
      <c r="CO875" s="180"/>
      <c r="CP875" s="180"/>
      <c r="CQ875" s="180"/>
      <c r="CR875" s="180"/>
      <c r="CS875" s="180"/>
      <c r="CT875" s="180"/>
      <c r="CU875" s="180"/>
      <c r="CV875" s="173"/>
      <c r="CW875" s="173"/>
      <c r="CX875" s="173"/>
      <c r="CY875" s="173"/>
      <c r="CZ875" s="173"/>
      <c r="DA875" s="198"/>
      <c r="DC875" s="197"/>
      <c r="DD875" s="180"/>
      <c r="DE875" s="180"/>
      <c r="DF875" s="180"/>
      <c r="DG875" s="180"/>
      <c r="DH875" s="180"/>
      <c r="DI875" s="180"/>
      <c r="DJ875" s="180"/>
      <c r="DK875" s="180"/>
      <c r="DL875" s="180"/>
      <c r="DM875" s="180"/>
      <c r="DN875" s="180"/>
      <c r="DO875" s="180"/>
      <c r="DP875" s="180"/>
      <c r="DQ875" s="173"/>
      <c r="DR875" s="173"/>
      <c r="DS875" s="173"/>
      <c r="DT875" s="173"/>
      <c r="DU875" s="173"/>
      <c r="DV875" s="198"/>
    </row>
    <row r="876" spans="85:126" x14ac:dyDescent="0.2">
      <c r="CG876" s="179"/>
      <c r="CH876" s="197"/>
      <c r="CI876" s="180"/>
      <c r="CJ876" s="180"/>
      <c r="CK876" s="180"/>
      <c r="CL876" s="180"/>
      <c r="CM876" s="180"/>
      <c r="CN876" s="180"/>
      <c r="CO876" s="180"/>
      <c r="CP876" s="180"/>
      <c r="CQ876" s="180"/>
      <c r="CR876" s="180"/>
      <c r="CS876" s="180"/>
      <c r="CT876" s="180"/>
      <c r="CU876" s="180"/>
      <c r="CV876" s="173"/>
      <c r="CW876" s="173"/>
      <c r="CX876" s="173"/>
      <c r="CY876" s="173"/>
      <c r="CZ876" s="173"/>
      <c r="DA876" s="198"/>
      <c r="DC876" s="197"/>
      <c r="DD876" s="180"/>
      <c r="DE876" s="180"/>
      <c r="DF876" s="180"/>
      <c r="DG876" s="180"/>
      <c r="DH876" s="180"/>
      <c r="DI876" s="180"/>
      <c r="DJ876" s="180"/>
      <c r="DK876" s="180"/>
      <c r="DL876" s="180"/>
      <c r="DM876" s="180"/>
      <c r="DN876" s="180"/>
      <c r="DO876" s="180"/>
      <c r="DP876" s="180"/>
      <c r="DQ876" s="173"/>
      <c r="DR876" s="173"/>
      <c r="DS876" s="173"/>
      <c r="DT876" s="173"/>
      <c r="DU876" s="173"/>
      <c r="DV876" s="198"/>
    </row>
    <row r="877" spans="85:126" x14ac:dyDescent="0.2">
      <c r="CG877" s="179"/>
      <c r="CH877" s="197"/>
      <c r="CI877" s="180"/>
      <c r="CJ877" s="180"/>
      <c r="CK877" s="180"/>
      <c r="CL877" s="180"/>
      <c r="CM877" s="180"/>
      <c r="CN877" s="180"/>
      <c r="CO877" s="180"/>
      <c r="CP877" s="180"/>
      <c r="CQ877" s="180"/>
      <c r="CR877" s="180"/>
      <c r="CS877" s="180"/>
      <c r="CT877" s="180"/>
      <c r="CU877" s="180"/>
      <c r="CV877" s="173"/>
      <c r="CW877" s="173"/>
      <c r="CX877" s="173"/>
      <c r="CY877" s="173"/>
      <c r="CZ877" s="173"/>
      <c r="DA877" s="198"/>
      <c r="DC877" s="197"/>
      <c r="DD877" s="180"/>
      <c r="DE877" s="180"/>
      <c r="DF877" s="180"/>
      <c r="DG877" s="180"/>
      <c r="DH877" s="180"/>
      <c r="DI877" s="180"/>
      <c r="DJ877" s="180"/>
      <c r="DK877" s="180"/>
      <c r="DL877" s="180"/>
      <c r="DM877" s="180"/>
      <c r="DN877" s="180"/>
      <c r="DO877" s="180"/>
      <c r="DP877" s="180"/>
      <c r="DQ877" s="173"/>
      <c r="DR877" s="173"/>
      <c r="DS877" s="173"/>
      <c r="DT877" s="173"/>
      <c r="DU877" s="173"/>
      <c r="DV877" s="198"/>
    </row>
    <row r="878" spans="85:126" x14ac:dyDescent="0.2">
      <c r="CG878" s="176"/>
      <c r="CH878" s="197"/>
      <c r="CI878" s="180"/>
      <c r="CJ878" s="180"/>
      <c r="CK878" s="180"/>
      <c r="CL878" s="180"/>
      <c r="CM878" s="180"/>
      <c r="CN878" s="180"/>
      <c r="CO878" s="180"/>
      <c r="CP878" s="180"/>
      <c r="CQ878" s="180"/>
      <c r="CR878" s="180"/>
      <c r="CS878" s="180"/>
      <c r="CT878" s="180"/>
      <c r="CU878" s="180"/>
      <c r="CV878" s="173"/>
      <c r="CW878" s="173"/>
      <c r="CX878" s="173"/>
      <c r="CY878" s="173"/>
      <c r="CZ878" s="173"/>
      <c r="DA878" s="198"/>
      <c r="DC878" s="197"/>
      <c r="DD878" s="180"/>
      <c r="DE878" s="180"/>
      <c r="DF878" s="180"/>
      <c r="DG878" s="180"/>
      <c r="DH878" s="180"/>
      <c r="DI878" s="180"/>
      <c r="DJ878" s="180"/>
      <c r="DK878" s="180"/>
      <c r="DL878" s="180"/>
      <c r="DM878" s="180"/>
      <c r="DN878" s="180"/>
      <c r="DO878" s="180"/>
      <c r="DP878" s="180"/>
      <c r="DQ878" s="173"/>
      <c r="DR878" s="173"/>
      <c r="DS878" s="173"/>
      <c r="DT878" s="173"/>
      <c r="DU878" s="173"/>
      <c r="DV878" s="198"/>
    </row>
    <row r="879" spans="85:126" x14ac:dyDescent="0.2">
      <c r="CG879" s="176"/>
      <c r="CH879" s="197"/>
      <c r="CI879" s="180"/>
      <c r="CJ879" s="180"/>
      <c r="CK879" s="180"/>
      <c r="CL879" s="180"/>
      <c r="CM879" s="180"/>
      <c r="CN879" s="180"/>
      <c r="CO879" s="180"/>
      <c r="CP879" s="180"/>
      <c r="CQ879" s="180"/>
      <c r="CR879" s="180"/>
      <c r="CS879" s="180"/>
      <c r="CT879" s="180"/>
      <c r="CU879" s="180"/>
      <c r="CV879" s="173"/>
      <c r="CW879" s="173"/>
      <c r="CX879" s="173"/>
      <c r="CY879" s="173"/>
      <c r="CZ879" s="173"/>
      <c r="DA879" s="198"/>
      <c r="DC879" s="197"/>
      <c r="DD879" s="180"/>
      <c r="DE879" s="180"/>
      <c r="DF879" s="180"/>
      <c r="DG879" s="180"/>
      <c r="DH879" s="180"/>
      <c r="DI879" s="180"/>
      <c r="DJ879" s="180"/>
      <c r="DK879" s="180"/>
      <c r="DL879" s="180"/>
      <c r="DM879" s="180"/>
      <c r="DN879" s="180"/>
      <c r="DO879" s="180"/>
      <c r="DP879" s="180"/>
      <c r="DQ879" s="173"/>
      <c r="DR879" s="173"/>
      <c r="DS879" s="173"/>
      <c r="DT879" s="173"/>
      <c r="DU879" s="173"/>
      <c r="DV879" s="198"/>
    </row>
    <row r="880" spans="85:126" x14ac:dyDescent="0.2">
      <c r="CG880" s="176"/>
      <c r="CH880" s="199"/>
      <c r="CI880" s="200"/>
      <c r="CJ880" s="200"/>
      <c r="CK880" s="200"/>
      <c r="CL880" s="200"/>
      <c r="CM880" s="200"/>
      <c r="CN880" s="200"/>
      <c r="CO880" s="200"/>
      <c r="CP880" s="200"/>
      <c r="CQ880" s="201"/>
      <c r="CR880" s="202"/>
      <c r="CS880" s="200"/>
      <c r="CT880" s="200"/>
      <c r="CU880" s="200"/>
      <c r="CV880" s="203"/>
      <c r="CW880" s="203"/>
      <c r="CX880" s="203"/>
      <c r="CY880" s="203"/>
      <c r="CZ880" s="203"/>
      <c r="DA880" s="204"/>
      <c r="DC880" s="199"/>
      <c r="DD880" s="200"/>
      <c r="DE880" s="200"/>
      <c r="DF880" s="200"/>
      <c r="DG880" s="200"/>
      <c r="DH880" s="200"/>
      <c r="DI880" s="200"/>
      <c r="DJ880" s="200"/>
      <c r="DK880" s="200"/>
      <c r="DL880" s="200"/>
      <c r="DM880" s="200"/>
      <c r="DN880" s="200"/>
      <c r="DO880" s="200"/>
      <c r="DP880" s="200"/>
      <c r="DQ880" s="203"/>
      <c r="DR880" s="203"/>
      <c r="DS880" s="203"/>
      <c r="DT880" s="203"/>
      <c r="DU880" s="203"/>
      <c r="DV880" s="204"/>
    </row>
    <row r="881" spans="85:126" x14ac:dyDescent="0.2">
      <c r="CG881" s="176">
        <v>45</v>
      </c>
      <c r="CH881" s="192"/>
      <c r="CI881" s="193"/>
      <c r="CJ881" s="193"/>
      <c r="CK881" s="193"/>
      <c r="CL881" s="193"/>
      <c r="CM881" s="193"/>
      <c r="CN881" s="193"/>
      <c r="CO881" s="193"/>
      <c r="CP881" s="193"/>
      <c r="CQ881" s="193"/>
      <c r="CR881" s="193"/>
      <c r="CS881" s="193"/>
      <c r="CT881" s="193"/>
      <c r="CU881" s="193"/>
      <c r="CV881" s="194"/>
      <c r="CW881" s="194"/>
      <c r="CX881" s="194"/>
      <c r="CY881" s="194"/>
      <c r="CZ881" s="194"/>
      <c r="DA881" s="195"/>
      <c r="DC881" s="192"/>
      <c r="DD881" s="193"/>
      <c r="DE881" s="193"/>
      <c r="DF881" s="193"/>
      <c r="DG881" s="193"/>
      <c r="DH881" s="193"/>
      <c r="DI881" s="193"/>
      <c r="DJ881" s="193"/>
      <c r="DK881" s="193"/>
      <c r="DL881" s="193"/>
      <c r="DM881" s="193"/>
      <c r="DN881" s="193"/>
      <c r="DO881" s="193"/>
      <c r="DP881" s="193"/>
      <c r="DQ881" s="194"/>
      <c r="DR881" s="194"/>
      <c r="DS881" s="194"/>
      <c r="DT881" s="194"/>
      <c r="DU881" s="194"/>
      <c r="DV881" s="195"/>
    </row>
    <row r="882" spans="85:126" x14ac:dyDescent="0.2">
      <c r="CG882" s="176"/>
      <c r="CH882" s="169"/>
      <c r="CI882" s="177"/>
      <c r="CJ882" s="177"/>
      <c r="CK882" s="177"/>
      <c r="CL882" s="177"/>
      <c r="CM882" s="177"/>
      <c r="CN882" s="177"/>
      <c r="CO882" s="177"/>
      <c r="CP882" s="177"/>
      <c r="CQ882" s="177"/>
      <c r="CR882" s="177"/>
      <c r="CS882" s="177"/>
      <c r="CT882" s="177"/>
      <c r="CU882" s="177"/>
      <c r="CV882" s="172"/>
      <c r="CW882" s="172"/>
      <c r="CX882" s="172"/>
      <c r="CY882" s="172"/>
      <c r="CZ882" s="172"/>
      <c r="DA882" s="196"/>
      <c r="DC882" s="169"/>
      <c r="DD882" s="177"/>
      <c r="DE882" s="177"/>
      <c r="DF882" s="177"/>
      <c r="DG882" s="177"/>
      <c r="DH882" s="177"/>
      <c r="DI882" s="177"/>
      <c r="DJ882" s="177"/>
      <c r="DK882" s="177"/>
      <c r="DL882" s="177"/>
      <c r="DM882" s="177"/>
      <c r="DN882" s="177"/>
      <c r="DO882" s="177"/>
      <c r="DP882" s="177"/>
      <c r="DQ882" s="172"/>
      <c r="DR882" s="172"/>
      <c r="DS882" s="172"/>
      <c r="DT882" s="172"/>
      <c r="DU882" s="172"/>
      <c r="DV882" s="196"/>
    </row>
    <row r="883" spans="85:126" x14ac:dyDescent="0.2">
      <c r="CG883" s="131"/>
      <c r="CH883" s="169"/>
      <c r="CI883" s="177"/>
      <c r="CJ883" s="177"/>
      <c r="CK883" s="177"/>
      <c r="CL883" s="177"/>
      <c r="CM883" s="177"/>
      <c r="CN883" s="177"/>
      <c r="CO883" s="177"/>
      <c r="CP883" s="177"/>
      <c r="CQ883" s="177"/>
      <c r="CR883" s="177"/>
      <c r="CS883" s="177"/>
      <c r="CT883" s="177"/>
      <c r="CU883" s="177"/>
      <c r="CV883" s="172"/>
      <c r="CW883" s="172"/>
      <c r="CX883" s="172"/>
      <c r="CY883" s="172"/>
      <c r="CZ883" s="172"/>
      <c r="DA883" s="196"/>
      <c r="DC883" s="169"/>
      <c r="DD883" s="177"/>
      <c r="DE883" s="177"/>
      <c r="DF883" s="177"/>
      <c r="DG883" s="177"/>
      <c r="DH883" s="177"/>
      <c r="DI883" s="177"/>
      <c r="DJ883" s="177"/>
      <c r="DK883" s="177"/>
      <c r="DL883" s="177"/>
      <c r="DM883" s="177"/>
      <c r="DN883" s="177"/>
      <c r="DO883" s="177"/>
      <c r="DP883" s="177"/>
      <c r="DQ883" s="172"/>
      <c r="DR883" s="172"/>
      <c r="DS883" s="172"/>
      <c r="DT883" s="172"/>
      <c r="DU883" s="172"/>
      <c r="DV883" s="196"/>
    </row>
    <row r="884" spans="85:126" x14ac:dyDescent="0.2">
      <c r="CG884" s="176"/>
      <c r="CH884" s="169"/>
      <c r="CI884" s="177"/>
      <c r="CJ884" s="177"/>
      <c r="CK884" s="177"/>
      <c r="CL884" s="177"/>
      <c r="CM884" s="177"/>
      <c r="CN884" s="177"/>
      <c r="CO884" s="177"/>
      <c r="CP884" s="177"/>
      <c r="CQ884" s="177"/>
      <c r="CR884" s="177"/>
      <c r="CS884" s="177"/>
      <c r="CT884" s="177"/>
      <c r="CU884" s="177"/>
      <c r="CV884" s="172"/>
      <c r="CW884" s="172"/>
      <c r="CX884" s="172"/>
      <c r="CY884" s="172"/>
      <c r="CZ884" s="172"/>
      <c r="DA884" s="196"/>
      <c r="DC884" s="169"/>
      <c r="DD884" s="177"/>
      <c r="DE884" s="177"/>
      <c r="DF884" s="177"/>
      <c r="DG884" s="177"/>
      <c r="DH884" s="177"/>
      <c r="DI884" s="177"/>
      <c r="DJ884" s="177"/>
      <c r="DK884" s="177"/>
      <c r="DL884" s="177"/>
      <c r="DM884" s="177"/>
      <c r="DN884" s="177"/>
      <c r="DO884" s="177"/>
      <c r="DP884" s="177"/>
      <c r="DQ884" s="172"/>
      <c r="DR884" s="172"/>
      <c r="DS884" s="172"/>
      <c r="DT884" s="172"/>
      <c r="DU884" s="172"/>
      <c r="DV884" s="196"/>
    </row>
    <row r="885" spans="85:126" x14ac:dyDescent="0.2">
      <c r="CG885" s="178"/>
      <c r="CH885" s="169"/>
      <c r="CI885" s="177"/>
      <c r="CJ885" s="177"/>
      <c r="CK885" s="177"/>
      <c r="CL885" s="177"/>
      <c r="CM885" s="177"/>
      <c r="CN885" s="177"/>
      <c r="CO885" s="177"/>
      <c r="CP885" s="177"/>
      <c r="CQ885" s="177"/>
      <c r="CR885" s="177"/>
      <c r="CS885" s="177"/>
      <c r="CT885" s="177"/>
      <c r="CU885" s="177"/>
      <c r="CV885" s="172"/>
      <c r="CW885" s="172"/>
      <c r="CX885" s="172"/>
      <c r="CY885" s="172"/>
      <c r="CZ885" s="172"/>
      <c r="DA885" s="196"/>
      <c r="DC885" s="169"/>
      <c r="DD885" s="177"/>
      <c r="DE885" s="177"/>
      <c r="DF885" s="177"/>
      <c r="DG885" s="177"/>
      <c r="DH885" s="177"/>
      <c r="DI885" s="177"/>
      <c r="DJ885" s="177"/>
      <c r="DK885" s="177"/>
      <c r="DL885" s="177"/>
      <c r="DM885" s="177"/>
      <c r="DN885" s="177"/>
      <c r="DO885" s="177"/>
      <c r="DP885" s="177"/>
      <c r="DQ885" s="172"/>
      <c r="DR885" s="172"/>
      <c r="DS885" s="172"/>
      <c r="DT885" s="172"/>
      <c r="DU885" s="172"/>
      <c r="DV885" s="196"/>
    </row>
    <row r="886" spans="85:126" x14ac:dyDescent="0.2">
      <c r="CG886" s="179"/>
      <c r="CH886" s="169"/>
      <c r="CI886" s="177"/>
      <c r="CJ886" s="177"/>
      <c r="CK886" s="177"/>
      <c r="CL886" s="177"/>
      <c r="CM886" s="177"/>
      <c r="CN886" s="177"/>
      <c r="CO886" s="177"/>
      <c r="CP886" s="177"/>
      <c r="CQ886" s="177"/>
      <c r="CR886" s="177"/>
      <c r="CS886" s="177"/>
      <c r="CT886" s="177"/>
      <c r="CU886" s="177"/>
      <c r="CV886" s="172"/>
      <c r="CW886" s="172"/>
      <c r="CX886" s="172"/>
      <c r="CY886" s="172"/>
      <c r="CZ886" s="172"/>
      <c r="DA886" s="196"/>
      <c r="DC886" s="169"/>
      <c r="DD886" s="177"/>
      <c r="DE886" s="177"/>
      <c r="DF886" s="177"/>
      <c r="DG886" s="177"/>
      <c r="DH886" s="177"/>
      <c r="DI886" s="177"/>
      <c r="DJ886" s="177"/>
      <c r="DK886" s="177"/>
      <c r="DL886" s="177"/>
      <c r="DM886" s="177"/>
      <c r="DN886" s="177"/>
      <c r="DO886" s="177"/>
      <c r="DP886" s="177"/>
      <c r="DQ886" s="172"/>
      <c r="DR886" s="172"/>
      <c r="DS886" s="172"/>
      <c r="DT886" s="172"/>
      <c r="DU886" s="172"/>
      <c r="DV886" s="196"/>
    </row>
    <row r="887" spans="85:126" x14ac:dyDescent="0.2">
      <c r="CG887" s="179"/>
      <c r="CH887" s="169"/>
      <c r="CI887" s="177"/>
      <c r="CJ887" s="177"/>
      <c r="CK887" s="177"/>
      <c r="CL887" s="177"/>
      <c r="CM887" s="177"/>
      <c r="CN887" s="177"/>
      <c r="CO887" s="177"/>
      <c r="CP887" s="177"/>
      <c r="CQ887" s="177"/>
      <c r="CR887" s="177"/>
      <c r="CS887" s="177"/>
      <c r="CT887" s="177"/>
      <c r="CU887" s="177"/>
      <c r="CV887" s="172"/>
      <c r="CW887" s="172"/>
      <c r="CX887" s="172"/>
      <c r="CY887" s="172"/>
      <c r="CZ887" s="172"/>
      <c r="DA887" s="196"/>
      <c r="DC887" s="169"/>
      <c r="DD887" s="177"/>
      <c r="DE887" s="177"/>
      <c r="DF887" s="177"/>
      <c r="DG887" s="177"/>
      <c r="DH887" s="177"/>
      <c r="DI887" s="177"/>
      <c r="DJ887" s="177"/>
      <c r="DK887" s="177"/>
      <c r="DL887" s="177"/>
      <c r="DM887" s="177"/>
      <c r="DN887" s="177"/>
      <c r="DO887" s="177"/>
      <c r="DP887" s="177"/>
      <c r="DQ887" s="172"/>
      <c r="DR887" s="172"/>
      <c r="DS887" s="172"/>
      <c r="DT887" s="172"/>
      <c r="DU887" s="172"/>
      <c r="DV887" s="196"/>
    </row>
    <row r="888" spans="85:126" x14ac:dyDescent="0.2">
      <c r="CG888" s="179"/>
      <c r="CH888" s="169"/>
      <c r="CI888" s="177"/>
      <c r="CJ888" s="177"/>
      <c r="CK888" s="177"/>
      <c r="CL888" s="177"/>
      <c r="CM888" s="177"/>
      <c r="CN888" s="177"/>
      <c r="CO888" s="177"/>
      <c r="CP888" s="177"/>
      <c r="CQ888" s="177"/>
      <c r="CR888" s="177"/>
      <c r="CS888" s="177"/>
      <c r="CT888" s="177"/>
      <c r="CU888" s="177"/>
      <c r="CV888" s="172"/>
      <c r="CW888" s="172"/>
      <c r="CX888" s="172"/>
      <c r="CY888" s="172"/>
      <c r="CZ888" s="172"/>
      <c r="DA888" s="196"/>
      <c r="DC888" s="169"/>
      <c r="DD888" s="177"/>
      <c r="DE888" s="177"/>
      <c r="DF888" s="177"/>
      <c r="DG888" s="177"/>
      <c r="DH888" s="177"/>
      <c r="DI888" s="177"/>
      <c r="DJ888" s="177"/>
      <c r="DK888" s="177"/>
      <c r="DL888" s="177"/>
      <c r="DM888" s="177"/>
      <c r="DN888" s="177"/>
      <c r="DO888" s="177"/>
      <c r="DP888" s="177"/>
      <c r="DQ888" s="172"/>
      <c r="DR888" s="172"/>
      <c r="DS888" s="172"/>
      <c r="DT888" s="172"/>
      <c r="DU888" s="172"/>
      <c r="DV888" s="196"/>
    </row>
    <row r="889" spans="85:126" x14ac:dyDescent="0.2">
      <c r="CG889" s="179"/>
      <c r="CH889" s="169"/>
      <c r="CI889" s="177"/>
      <c r="CJ889" s="177"/>
      <c r="CK889" s="177"/>
      <c r="CL889" s="177"/>
      <c r="CM889" s="177"/>
      <c r="CN889" s="177"/>
      <c r="CO889" s="177"/>
      <c r="CP889" s="177"/>
      <c r="CQ889" s="177"/>
      <c r="CR889" s="177"/>
      <c r="CS889" s="177"/>
      <c r="CT889" s="177"/>
      <c r="CU889" s="177"/>
      <c r="CV889" s="172"/>
      <c r="CW889" s="172"/>
      <c r="CX889" s="172"/>
      <c r="CY889" s="172"/>
      <c r="CZ889" s="172"/>
      <c r="DA889" s="196"/>
      <c r="DC889" s="169"/>
      <c r="DD889" s="177"/>
      <c r="DE889" s="177"/>
      <c r="DF889" s="177"/>
      <c r="DG889" s="177"/>
      <c r="DH889" s="177"/>
      <c r="DI889" s="177"/>
      <c r="DJ889" s="177"/>
      <c r="DK889" s="177"/>
      <c r="DL889" s="177"/>
      <c r="DM889" s="177"/>
      <c r="DN889" s="177"/>
      <c r="DO889" s="177"/>
      <c r="DP889" s="177"/>
      <c r="DQ889" s="172"/>
      <c r="DR889" s="172"/>
      <c r="DS889" s="172"/>
      <c r="DT889" s="172"/>
      <c r="DU889" s="172"/>
      <c r="DV889" s="196"/>
    </row>
    <row r="890" spans="85:126" x14ac:dyDescent="0.2">
      <c r="CG890" s="179"/>
      <c r="CH890" s="169"/>
      <c r="CI890" s="177"/>
      <c r="CJ890" s="177"/>
      <c r="CK890" s="177"/>
      <c r="CL890" s="177"/>
      <c r="CM890" s="177"/>
      <c r="CN890" s="177"/>
      <c r="CO890" s="177"/>
      <c r="CP890" s="177"/>
      <c r="CQ890" s="177"/>
      <c r="CR890" s="177"/>
      <c r="CS890" s="177"/>
      <c r="CT890" s="177"/>
      <c r="CU890" s="177"/>
      <c r="CV890" s="172"/>
      <c r="CW890" s="172"/>
      <c r="CX890" s="172"/>
      <c r="CY890" s="172"/>
      <c r="CZ890" s="172"/>
      <c r="DA890" s="196"/>
      <c r="DC890" s="169"/>
      <c r="DD890" s="177"/>
      <c r="DE890" s="177"/>
      <c r="DF890" s="177"/>
      <c r="DG890" s="177"/>
      <c r="DH890" s="177"/>
      <c r="DI890" s="177"/>
      <c r="DJ890" s="177"/>
      <c r="DK890" s="177"/>
      <c r="DL890" s="177"/>
      <c r="DM890" s="177"/>
      <c r="DN890" s="177"/>
      <c r="DO890" s="177"/>
      <c r="DP890" s="177"/>
      <c r="DQ890" s="172"/>
      <c r="DR890" s="172"/>
      <c r="DS890" s="172"/>
      <c r="DT890" s="172"/>
      <c r="DU890" s="172"/>
      <c r="DV890" s="196"/>
    </row>
    <row r="891" spans="85:126" x14ac:dyDescent="0.2">
      <c r="CG891" s="179"/>
      <c r="CH891" s="169"/>
      <c r="CI891" s="177"/>
      <c r="CJ891" s="177"/>
      <c r="CK891" s="177"/>
      <c r="CL891" s="177"/>
      <c r="CM891" s="177"/>
      <c r="CN891" s="177"/>
      <c r="CO891" s="177"/>
      <c r="CP891" s="177"/>
      <c r="CQ891" s="177"/>
      <c r="CR891" s="177"/>
      <c r="CS891" s="177"/>
      <c r="CT891" s="177"/>
      <c r="CU891" s="177"/>
      <c r="CV891" s="172"/>
      <c r="CW891" s="172"/>
      <c r="CX891" s="172"/>
      <c r="CY891" s="172"/>
      <c r="CZ891" s="172"/>
      <c r="DA891" s="196"/>
      <c r="DC891" s="169"/>
      <c r="DD891" s="177"/>
      <c r="DE891" s="177"/>
      <c r="DF891" s="177"/>
      <c r="DG891" s="177"/>
      <c r="DH891" s="177"/>
      <c r="DI891" s="177"/>
      <c r="DJ891" s="177"/>
      <c r="DK891" s="177"/>
      <c r="DL891" s="177"/>
      <c r="DM891" s="177"/>
      <c r="DN891" s="177"/>
      <c r="DO891" s="177"/>
      <c r="DP891" s="177"/>
      <c r="DQ891" s="172"/>
      <c r="DR891" s="172"/>
      <c r="DS891" s="172"/>
      <c r="DT891" s="172"/>
      <c r="DU891" s="172"/>
      <c r="DV891" s="196"/>
    </row>
    <row r="892" spans="85:126" x14ac:dyDescent="0.2">
      <c r="CG892" s="179"/>
      <c r="CH892" s="169"/>
      <c r="CI892" s="177"/>
      <c r="CJ892" s="177"/>
      <c r="CK892" s="177"/>
      <c r="CL892" s="177"/>
      <c r="CM892" s="177"/>
      <c r="CN892" s="177"/>
      <c r="CO892" s="177"/>
      <c r="CP892" s="177"/>
      <c r="CQ892" s="177"/>
      <c r="CR892" s="177"/>
      <c r="CS892" s="177"/>
      <c r="CT892" s="177"/>
      <c r="CU892" s="177"/>
      <c r="CV892" s="172"/>
      <c r="CW892" s="172"/>
      <c r="CX892" s="172"/>
      <c r="CY892" s="172"/>
      <c r="CZ892" s="172"/>
      <c r="DA892" s="196"/>
      <c r="DC892" s="169"/>
      <c r="DD892" s="177"/>
      <c r="DE892" s="177"/>
      <c r="DF892" s="177"/>
      <c r="DG892" s="177"/>
      <c r="DH892" s="177"/>
      <c r="DI892" s="177"/>
      <c r="DJ892" s="177"/>
      <c r="DK892" s="177"/>
      <c r="DL892" s="177"/>
      <c r="DM892" s="177"/>
      <c r="DN892" s="177"/>
      <c r="DO892" s="177"/>
      <c r="DP892" s="177"/>
      <c r="DQ892" s="172"/>
      <c r="DR892" s="172"/>
      <c r="DS892" s="172"/>
      <c r="DT892" s="172"/>
      <c r="DU892" s="172"/>
      <c r="DV892" s="196"/>
    </row>
    <row r="893" spans="85:126" x14ac:dyDescent="0.2">
      <c r="CG893" s="179"/>
      <c r="CH893" s="197"/>
      <c r="CI893" s="180"/>
      <c r="CJ893" s="180"/>
      <c r="CK893" s="180"/>
      <c r="CL893" s="180"/>
      <c r="CM893" s="180"/>
      <c r="CN893" s="180"/>
      <c r="CO893" s="180"/>
      <c r="CP893" s="180"/>
      <c r="CQ893" s="180"/>
      <c r="CR893" s="180"/>
      <c r="CS893" s="180"/>
      <c r="CT893" s="180"/>
      <c r="CU893" s="180"/>
      <c r="CV893" s="173"/>
      <c r="CW893" s="173"/>
      <c r="CX893" s="173"/>
      <c r="CY893" s="173"/>
      <c r="CZ893" s="173"/>
      <c r="DA893" s="198"/>
      <c r="DC893" s="197"/>
      <c r="DD893" s="180"/>
      <c r="DE893" s="180"/>
      <c r="DF893" s="180"/>
      <c r="DG893" s="180"/>
      <c r="DH893" s="180"/>
      <c r="DI893" s="180"/>
      <c r="DJ893" s="180"/>
      <c r="DK893" s="180"/>
      <c r="DL893" s="180"/>
      <c r="DM893" s="180"/>
      <c r="DN893" s="180"/>
      <c r="DO893" s="180"/>
      <c r="DP893" s="180"/>
      <c r="DQ893" s="173"/>
      <c r="DR893" s="173"/>
      <c r="DS893" s="173"/>
      <c r="DT893" s="173"/>
      <c r="DU893" s="173"/>
      <c r="DV893" s="198"/>
    </row>
    <row r="894" spans="85:126" x14ac:dyDescent="0.2">
      <c r="CG894" s="179"/>
      <c r="CH894" s="197"/>
      <c r="CI894" s="180"/>
      <c r="CJ894" s="180"/>
      <c r="CK894" s="180"/>
      <c r="CL894" s="180"/>
      <c r="CM894" s="180"/>
      <c r="CN894" s="180"/>
      <c r="CO894" s="180"/>
      <c r="CP894" s="180"/>
      <c r="CQ894" s="180"/>
      <c r="CR894" s="180"/>
      <c r="CS894" s="180"/>
      <c r="CT894" s="180"/>
      <c r="CU894" s="180"/>
      <c r="CV894" s="173"/>
      <c r="CW894" s="173"/>
      <c r="CX894" s="173"/>
      <c r="CY894" s="173"/>
      <c r="CZ894" s="173"/>
      <c r="DA894" s="198"/>
      <c r="DC894" s="197"/>
      <c r="DD894" s="180"/>
      <c r="DE894" s="180"/>
      <c r="DF894" s="180"/>
      <c r="DG894" s="180"/>
      <c r="DH894" s="180"/>
      <c r="DI894" s="180"/>
      <c r="DJ894" s="180"/>
      <c r="DK894" s="180"/>
      <c r="DL894" s="180"/>
      <c r="DM894" s="180"/>
      <c r="DN894" s="180"/>
      <c r="DO894" s="180"/>
      <c r="DP894" s="180"/>
      <c r="DQ894" s="173"/>
      <c r="DR894" s="173"/>
      <c r="DS894" s="173"/>
      <c r="DT894" s="173"/>
      <c r="DU894" s="173"/>
      <c r="DV894" s="198"/>
    </row>
    <row r="895" spans="85:126" x14ac:dyDescent="0.2">
      <c r="CG895" s="179"/>
      <c r="CH895" s="197"/>
      <c r="CI895" s="180"/>
      <c r="CJ895" s="180"/>
      <c r="CK895" s="180"/>
      <c r="CL895" s="180"/>
      <c r="CM895" s="180"/>
      <c r="CN895" s="180"/>
      <c r="CO895" s="180"/>
      <c r="CP895" s="180"/>
      <c r="CQ895" s="180"/>
      <c r="CR895" s="180"/>
      <c r="CS895" s="180"/>
      <c r="CT895" s="180"/>
      <c r="CU895" s="180"/>
      <c r="CV895" s="173"/>
      <c r="CW895" s="173"/>
      <c r="CX895" s="173"/>
      <c r="CY895" s="173"/>
      <c r="CZ895" s="173"/>
      <c r="DA895" s="198"/>
      <c r="DC895" s="197"/>
      <c r="DD895" s="180"/>
      <c r="DE895" s="180"/>
      <c r="DF895" s="180"/>
      <c r="DG895" s="180"/>
      <c r="DH895" s="180"/>
      <c r="DI895" s="180"/>
      <c r="DJ895" s="180"/>
      <c r="DK895" s="180"/>
      <c r="DL895" s="180"/>
      <c r="DM895" s="180"/>
      <c r="DN895" s="180"/>
      <c r="DO895" s="180"/>
      <c r="DP895" s="180"/>
      <c r="DQ895" s="173"/>
      <c r="DR895" s="173"/>
      <c r="DS895" s="173"/>
      <c r="DT895" s="173"/>
      <c r="DU895" s="173"/>
      <c r="DV895" s="198"/>
    </row>
    <row r="896" spans="85:126" x14ac:dyDescent="0.2">
      <c r="CG896" s="179"/>
      <c r="CH896" s="197"/>
      <c r="CI896" s="180"/>
      <c r="CJ896" s="180"/>
      <c r="CK896" s="180"/>
      <c r="CL896" s="180"/>
      <c r="CM896" s="180"/>
      <c r="CN896" s="180"/>
      <c r="CO896" s="180"/>
      <c r="CP896" s="180"/>
      <c r="CQ896" s="180"/>
      <c r="CR896" s="180"/>
      <c r="CS896" s="180"/>
      <c r="CT896" s="180"/>
      <c r="CU896" s="180"/>
      <c r="CV896" s="173"/>
      <c r="CW896" s="173"/>
      <c r="CX896" s="173"/>
      <c r="CY896" s="173"/>
      <c r="CZ896" s="173"/>
      <c r="DA896" s="198"/>
      <c r="DC896" s="197"/>
      <c r="DD896" s="180"/>
      <c r="DE896" s="180"/>
      <c r="DF896" s="180"/>
      <c r="DG896" s="180"/>
      <c r="DH896" s="180"/>
      <c r="DI896" s="180"/>
      <c r="DJ896" s="180"/>
      <c r="DK896" s="180"/>
      <c r="DL896" s="180"/>
      <c r="DM896" s="180"/>
      <c r="DN896" s="180"/>
      <c r="DO896" s="180"/>
      <c r="DP896" s="180"/>
      <c r="DQ896" s="173"/>
      <c r="DR896" s="173"/>
      <c r="DS896" s="173"/>
      <c r="DT896" s="173"/>
      <c r="DU896" s="173"/>
      <c r="DV896" s="198"/>
    </row>
    <row r="897" spans="85:126" x14ac:dyDescent="0.2">
      <c r="CG897" s="179"/>
      <c r="CH897" s="197"/>
      <c r="CI897" s="180"/>
      <c r="CJ897" s="180"/>
      <c r="CK897" s="180"/>
      <c r="CL897" s="180"/>
      <c r="CM897" s="180"/>
      <c r="CN897" s="180"/>
      <c r="CO897" s="180"/>
      <c r="CP897" s="180"/>
      <c r="CQ897" s="180"/>
      <c r="CR897" s="180"/>
      <c r="CS897" s="180"/>
      <c r="CT897" s="180"/>
      <c r="CU897" s="180"/>
      <c r="CV897" s="173"/>
      <c r="CW897" s="173"/>
      <c r="CX897" s="173"/>
      <c r="CY897" s="173"/>
      <c r="CZ897" s="173"/>
      <c r="DA897" s="198"/>
      <c r="DC897" s="197"/>
      <c r="DD897" s="180"/>
      <c r="DE897" s="180"/>
      <c r="DF897" s="180"/>
      <c r="DG897" s="180"/>
      <c r="DH897" s="180"/>
      <c r="DI897" s="180"/>
      <c r="DJ897" s="180"/>
      <c r="DK897" s="180"/>
      <c r="DL897" s="180"/>
      <c r="DM897" s="180"/>
      <c r="DN897" s="180"/>
      <c r="DO897" s="180"/>
      <c r="DP897" s="180"/>
      <c r="DQ897" s="173"/>
      <c r="DR897" s="173"/>
      <c r="DS897" s="173"/>
      <c r="DT897" s="173"/>
      <c r="DU897" s="173"/>
      <c r="DV897" s="198"/>
    </row>
    <row r="898" spans="85:126" x14ac:dyDescent="0.2">
      <c r="CG898" s="176"/>
      <c r="CH898" s="197"/>
      <c r="CI898" s="180"/>
      <c r="CJ898" s="180"/>
      <c r="CK898" s="180"/>
      <c r="CL898" s="180"/>
      <c r="CM898" s="180"/>
      <c r="CN898" s="180"/>
      <c r="CO898" s="180"/>
      <c r="CP898" s="180"/>
      <c r="CQ898" s="180"/>
      <c r="CR898" s="180"/>
      <c r="CS898" s="180"/>
      <c r="CT898" s="180"/>
      <c r="CU898" s="180"/>
      <c r="CV898" s="173"/>
      <c r="CW898" s="173"/>
      <c r="CX898" s="173"/>
      <c r="CY898" s="173"/>
      <c r="CZ898" s="173"/>
      <c r="DA898" s="198"/>
      <c r="DC898" s="197"/>
      <c r="DD898" s="180"/>
      <c r="DE898" s="180"/>
      <c r="DF898" s="180"/>
      <c r="DG898" s="180"/>
      <c r="DH898" s="180"/>
      <c r="DI898" s="180"/>
      <c r="DJ898" s="180"/>
      <c r="DK898" s="180"/>
      <c r="DL898" s="180"/>
      <c r="DM898" s="180"/>
      <c r="DN898" s="180"/>
      <c r="DO898" s="180"/>
      <c r="DP898" s="180"/>
      <c r="DQ898" s="173"/>
      <c r="DR898" s="173"/>
      <c r="DS898" s="173"/>
      <c r="DT898" s="173"/>
      <c r="DU898" s="173"/>
      <c r="DV898" s="198"/>
    </row>
    <row r="899" spans="85:126" x14ac:dyDescent="0.2">
      <c r="CG899" s="176"/>
      <c r="CH899" s="197"/>
      <c r="CI899" s="180"/>
      <c r="CJ899" s="180"/>
      <c r="CK899" s="180"/>
      <c r="CL899" s="180"/>
      <c r="CM899" s="180"/>
      <c r="CN899" s="180"/>
      <c r="CO899" s="180"/>
      <c r="CP899" s="180"/>
      <c r="CQ899" s="180"/>
      <c r="CR899" s="180"/>
      <c r="CS899" s="180"/>
      <c r="CT899" s="180"/>
      <c r="CU899" s="180"/>
      <c r="CV899" s="173"/>
      <c r="CW899" s="173"/>
      <c r="CX899" s="173"/>
      <c r="CY899" s="173"/>
      <c r="CZ899" s="173"/>
      <c r="DA899" s="198"/>
      <c r="DC899" s="197"/>
      <c r="DD899" s="180"/>
      <c r="DE899" s="180"/>
      <c r="DF899" s="180"/>
      <c r="DG899" s="180"/>
      <c r="DH899" s="180"/>
      <c r="DI899" s="180"/>
      <c r="DJ899" s="180"/>
      <c r="DK899" s="180"/>
      <c r="DL899" s="180"/>
      <c r="DM899" s="180"/>
      <c r="DN899" s="180"/>
      <c r="DO899" s="180"/>
      <c r="DP899" s="180"/>
      <c r="DQ899" s="173"/>
      <c r="DR899" s="173"/>
      <c r="DS899" s="173"/>
      <c r="DT899" s="173"/>
      <c r="DU899" s="173"/>
      <c r="DV899" s="198"/>
    </row>
    <row r="900" spans="85:126" x14ac:dyDescent="0.2">
      <c r="CG900" s="176"/>
      <c r="CH900" s="199"/>
      <c r="CI900" s="200"/>
      <c r="CJ900" s="200"/>
      <c r="CK900" s="200"/>
      <c r="CL900" s="200"/>
      <c r="CM900" s="200"/>
      <c r="CN900" s="200"/>
      <c r="CO900" s="200"/>
      <c r="CP900" s="200"/>
      <c r="CQ900" s="201"/>
      <c r="CR900" s="202"/>
      <c r="CS900" s="200"/>
      <c r="CT900" s="200"/>
      <c r="CU900" s="200"/>
      <c r="CV900" s="203"/>
      <c r="CW900" s="203"/>
      <c r="CX900" s="203"/>
      <c r="CY900" s="203"/>
      <c r="CZ900" s="203"/>
      <c r="DA900" s="204"/>
      <c r="DC900" s="199"/>
      <c r="DD900" s="200"/>
      <c r="DE900" s="200"/>
      <c r="DF900" s="200"/>
      <c r="DG900" s="200"/>
      <c r="DH900" s="200"/>
      <c r="DI900" s="200"/>
      <c r="DJ900" s="200"/>
      <c r="DK900" s="200"/>
      <c r="DL900" s="200"/>
      <c r="DM900" s="200"/>
      <c r="DN900" s="200"/>
      <c r="DO900" s="200"/>
      <c r="DP900" s="200"/>
      <c r="DQ900" s="203"/>
      <c r="DR900" s="203"/>
      <c r="DS900" s="203"/>
      <c r="DT900" s="203"/>
      <c r="DU900" s="203"/>
      <c r="DV900" s="204"/>
    </row>
    <row r="901" spans="85:126" x14ac:dyDescent="0.2">
      <c r="CG901" s="176">
        <v>46</v>
      </c>
      <c r="CH901" s="192"/>
      <c r="CI901" s="193"/>
      <c r="CJ901" s="193"/>
      <c r="CK901" s="193"/>
      <c r="CL901" s="193"/>
      <c r="CM901" s="193"/>
      <c r="CN901" s="193"/>
      <c r="CO901" s="193"/>
      <c r="CP901" s="193"/>
      <c r="CQ901" s="193"/>
      <c r="CR901" s="193"/>
      <c r="CS901" s="193"/>
      <c r="CT901" s="193"/>
      <c r="CU901" s="193"/>
      <c r="CV901" s="194"/>
      <c r="CW901" s="194"/>
      <c r="CX901" s="194"/>
      <c r="CY901" s="194"/>
      <c r="CZ901" s="194"/>
      <c r="DA901" s="195"/>
      <c r="DC901" s="192"/>
      <c r="DD901" s="193"/>
      <c r="DE901" s="193"/>
      <c r="DF901" s="193"/>
      <c r="DG901" s="193"/>
      <c r="DH901" s="193"/>
      <c r="DI901" s="193"/>
      <c r="DJ901" s="193"/>
      <c r="DK901" s="193"/>
      <c r="DL901" s="193"/>
      <c r="DM901" s="193"/>
      <c r="DN901" s="193"/>
      <c r="DO901" s="193"/>
      <c r="DP901" s="193"/>
      <c r="DQ901" s="194"/>
      <c r="DR901" s="194"/>
      <c r="DS901" s="194"/>
      <c r="DT901" s="194"/>
      <c r="DU901" s="194"/>
      <c r="DV901" s="195"/>
    </row>
    <row r="902" spans="85:126" x14ac:dyDescent="0.2">
      <c r="CG902" s="176"/>
      <c r="CH902" s="169"/>
      <c r="CI902" s="177"/>
      <c r="CJ902" s="177"/>
      <c r="CK902" s="177"/>
      <c r="CL902" s="177"/>
      <c r="CM902" s="177"/>
      <c r="CN902" s="177"/>
      <c r="CO902" s="177"/>
      <c r="CP902" s="177"/>
      <c r="CQ902" s="177"/>
      <c r="CR902" s="177"/>
      <c r="CS902" s="177"/>
      <c r="CT902" s="177"/>
      <c r="CU902" s="177"/>
      <c r="CV902" s="172"/>
      <c r="CW902" s="172"/>
      <c r="CX902" s="172"/>
      <c r="CY902" s="172"/>
      <c r="CZ902" s="172"/>
      <c r="DA902" s="196"/>
      <c r="DC902" s="169"/>
      <c r="DD902" s="177"/>
      <c r="DE902" s="177"/>
      <c r="DF902" s="177"/>
      <c r="DG902" s="177"/>
      <c r="DH902" s="177"/>
      <c r="DI902" s="177"/>
      <c r="DJ902" s="177"/>
      <c r="DK902" s="177"/>
      <c r="DL902" s="177"/>
      <c r="DM902" s="177"/>
      <c r="DN902" s="177"/>
      <c r="DO902" s="177"/>
      <c r="DP902" s="177"/>
      <c r="DQ902" s="172"/>
      <c r="DR902" s="172"/>
      <c r="DS902" s="172"/>
      <c r="DT902" s="172"/>
      <c r="DU902" s="172"/>
      <c r="DV902" s="196"/>
    </row>
    <row r="903" spans="85:126" x14ac:dyDescent="0.2">
      <c r="CG903" s="131"/>
      <c r="CH903" s="169"/>
      <c r="CI903" s="177"/>
      <c r="CJ903" s="177"/>
      <c r="CK903" s="177"/>
      <c r="CL903" s="177"/>
      <c r="CM903" s="177"/>
      <c r="CN903" s="177"/>
      <c r="CO903" s="177"/>
      <c r="CP903" s="177"/>
      <c r="CQ903" s="177"/>
      <c r="CR903" s="177"/>
      <c r="CS903" s="177"/>
      <c r="CT903" s="177"/>
      <c r="CU903" s="177"/>
      <c r="CV903" s="172"/>
      <c r="CW903" s="172"/>
      <c r="CX903" s="172"/>
      <c r="CY903" s="172"/>
      <c r="CZ903" s="172"/>
      <c r="DA903" s="196"/>
      <c r="DC903" s="169"/>
      <c r="DD903" s="177"/>
      <c r="DE903" s="177"/>
      <c r="DF903" s="177"/>
      <c r="DG903" s="177"/>
      <c r="DH903" s="177"/>
      <c r="DI903" s="177"/>
      <c r="DJ903" s="177"/>
      <c r="DK903" s="177"/>
      <c r="DL903" s="177"/>
      <c r="DM903" s="177"/>
      <c r="DN903" s="177"/>
      <c r="DO903" s="177"/>
      <c r="DP903" s="177"/>
      <c r="DQ903" s="172"/>
      <c r="DR903" s="172"/>
      <c r="DS903" s="172"/>
      <c r="DT903" s="172"/>
      <c r="DU903" s="172"/>
      <c r="DV903" s="196"/>
    </row>
    <row r="904" spans="85:126" x14ac:dyDescent="0.2">
      <c r="CG904" s="176"/>
      <c r="CH904" s="169"/>
      <c r="CI904" s="177"/>
      <c r="CJ904" s="177"/>
      <c r="CK904" s="177"/>
      <c r="CL904" s="177"/>
      <c r="CM904" s="177"/>
      <c r="CN904" s="177"/>
      <c r="CO904" s="177"/>
      <c r="CP904" s="177"/>
      <c r="CQ904" s="177"/>
      <c r="CR904" s="177"/>
      <c r="CS904" s="177"/>
      <c r="CT904" s="177"/>
      <c r="CU904" s="177"/>
      <c r="CV904" s="172"/>
      <c r="CW904" s="172"/>
      <c r="CX904" s="172"/>
      <c r="CY904" s="172"/>
      <c r="CZ904" s="172"/>
      <c r="DA904" s="196"/>
      <c r="DC904" s="169"/>
      <c r="DD904" s="177"/>
      <c r="DE904" s="177"/>
      <c r="DF904" s="177"/>
      <c r="DG904" s="177"/>
      <c r="DH904" s="177"/>
      <c r="DI904" s="177"/>
      <c r="DJ904" s="177"/>
      <c r="DK904" s="177"/>
      <c r="DL904" s="177"/>
      <c r="DM904" s="177"/>
      <c r="DN904" s="177"/>
      <c r="DO904" s="177"/>
      <c r="DP904" s="177"/>
      <c r="DQ904" s="172"/>
      <c r="DR904" s="172"/>
      <c r="DS904" s="172"/>
      <c r="DT904" s="172"/>
      <c r="DU904" s="172"/>
      <c r="DV904" s="196"/>
    </row>
    <row r="905" spans="85:126" x14ac:dyDescent="0.2">
      <c r="CG905" s="178"/>
      <c r="CH905" s="169"/>
      <c r="CI905" s="177"/>
      <c r="CJ905" s="177"/>
      <c r="CK905" s="177"/>
      <c r="CL905" s="177"/>
      <c r="CM905" s="177"/>
      <c r="CN905" s="177"/>
      <c r="CO905" s="177"/>
      <c r="CP905" s="177"/>
      <c r="CQ905" s="177"/>
      <c r="CR905" s="177"/>
      <c r="CS905" s="177"/>
      <c r="CT905" s="177"/>
      <c r="CU905" s="177"/>
      <c r="CV905" s="172"/>
      <c r="CW905" s="172"/>
      <c r="CX905" s="172"/>
      <c r="CY905" s="172"/>
      <c r="CZ905" s="172"/>
      <c r="DA905" s="196"/>
      <c r="DC905" s="169"/>
      <c r="DD905" s="177"/>
      <c r="DE905" s="177"/>
      <c r="DF905" s="177"/>
      <c r="DG905" s="177"/>
      <c r="DH905" s="177"/>
      <c r="DI905" s="177"/>
      <c r="DJ905" s="177"/>
      <c r="DK905" s="177"/>
      <c r="DL905" s="177"/>
      <c r="DM905" s="177"/>
      <c r="DN905" s="177"/>
      <c r="DO905" s="177"/>
      <c r="DP905" s="177"/>
      <c r="DQ905" s="172"/>
      <c r="DR905" s="172"/>
      <c r="DS905" s="172"/>
      <c r="DT905" s="172"/>
      <c r="DU905" s="172"/>
      <c r="DV905" s="196"/>
    </row>
    <row r="906" spans="85:126" x14ac:dyDescent="0.2">
      <c r="CG906" s="179"/>
      <c r="CH906" s="169"/>
      <c r="CI906" s="177"/>
      <c r="CJ906" s="177"/>
      <c r="CK906" s="177"/>
      <c r="CL906" s="177"/>
      <c r="CM906" s="177"/>
      <c r="CN906" s="177"/>
      <c r="CO906" s="177"/>
      <c r="CP906" s="177"/>
      <c r="CQ906" s="177"/>
      <c r="CR906" s="177"/>
      <c r="CS906" s="177"/>
      <c r="CT906" s="177"/>
      <c r="CU906" s="177"/>
      <c r="CV906" s="172"/>
      <c r="CW906" s="172"/>
      <c r="CX906" s="172"/>
      <c r="CY906" s="172"/>
      <c r="CZ906" s="172"/>
      <c r="DA906" s="196"/>
      <c r="DC906" s="169"/>
      <c r="DD906" s="177"/>
      <c r="DE906" s="177"/>
      <c r="DF906" s="177"/>
      <c r="DG906" s="177"/>
      <c r="DH906" s="177"/>
      <c r="DI906" s="177"/>
      <c r="DJ906" s="177"/>
      <c r="DK906" s="177"/>
      <c r="DL906" s="177"/>
      <c r="DM906" s="177"/>
      <c r="DN906" s="177"/>
      <c r="DO906" s="177"/>
      <c r="DP906" s="177"/>
      <c r="DQ906" s="172"/>
      <c r="DR906" s="172"/>
      <c r="DS906" s="172"/>
      <c r="DT906" s="172"/>
      <c r="DU906" s="172"/>
      <c r="DV906" s="196"/>
    </row>
    <row r="907" spans="85:126" x14ac:dyDescent="0.2">
      <c r="CG907" s="179"/>
      <c r="CH907" s="169"/>
      <c r="CI907" s="177"/>
      <c r="CJ907" s="177"/>
      <c r="CK907" s="177"/>
      <c r="CL907" s="177"/>
      <c r="CM907" s="177"/>
      <c r="CN907" s="177"/>
      <c r="CO907" s="177"/>
      <c r="CP907" s="177"/>
      <c r="CQ907" s="177"/>
      <c r="CR907" s="177"/>
      <c r="CS907" s="177"/>
      <c r="CT907" s="177"/>
      <c r="CU907" s="177"/>
      <c r="CV907" s="172"/>
      <c r="CW907" s="172"/>
      <c r="CX907" s="172"/>
      <c r="CY907" s="172"/>
      <c r="CZ907" s="172"/>
      <c r="DA907" s="196"/>
      <c r="DC907" s="169"/>
      <c r="DD907" s="177"/>
      <c r="DE907" s="177"/>
      <c r="DF907" s="177"/>
      <c r="DG907" s="177"/>
      <c r="DH907" s="177"/>
      <c r="DI907" s="177"/>
      <c r="DJ907" s="177"/>
      <c r="DK907" s="177"/>
      <c r="DL907" s="177"/>
      <c r="DM907" s="177"/>
      <c r="DN907" s="177"/>
      <c r="DO907" s="177"/>
      <c r="DP907" s="177"/>
      <c r="DQ907" s="172"/>
      <c r="DR907" s="172"/>
      <c r="DS907" s="172"/>
      <c r="DT907" s="172"/>
      <c r="DU907" s="172"/>
      <c r="DV907" s="196"/>
    </row>
    <row r="908" spans="85:126" x14ac:dyDescent="0.2">
      <c r="CG908" s="179"/>
      <c r="CH908" s="169"/>
      <c r="CI908" s="177"/>
      <c r="CJ908" s="177"/>
      <c r="CK908" s="177"/>
      <c r="CL908" s="177"/>
      <c r="CM908" s="177"/>
      <c r="CN908" s="177"/>
      <c r="CO908" s="177"/>
      <c r="CP908" s="177"/>
      <c r="CQ908" s="177"/>
      <c r="CR908" s="177"/>
      <c r="CS908" s="177"/>
      <c r="CT908" s="177"/>
      <c r="CU908" s="177"/>
      <c r="CV908" s="172"/>
      <c r="CW908" s="172"/>
      <c r="CX908" s="172"/>
      <c r="CY908" s="172"/>
      <c r="CZ908" s="172"/>
      <c r="DA908" s="196"/>
      <c r="DC908" s="169"/>
      <c r="DD908" s="177"/>
      <c r="DE908" s="177"/>
      <c r="DF908" s="177"/>
      <c r="DG908" s="177"/>
      <c r="DH908" s="177"/>
      <c r="DI908" s="177"/>
      <c r="DJ908" s="177"/>
      <c r="DK908" s="177"/>
      <c r="DL908" s="177"/>
      <c r="DM908" s="177"/>
      <c r="DN908" s="177"/>
      <c r="DO908" s="177"/>
      <c r="DP908" s="177"/>
      <c r="DQ908" s="172"/>
      <c r="DR908" s="172"/>
      <c r="DS908" s="172"/>
      <c r="DT908" s="172"/>
      <c r="DU908" s="172"/>
      <c r="DV908" s="196"/>
    </row>
    <row r="909" spans="85:126" x14ac:dyDescent="0.2">
      <c r="CG909" s="179"/>
      <c r="CH909" s="169"/>
      <c r="CI909" s="177"/>
      <c r="CJ909" s="177"/>
      <c r="CK909" s="177"/>
      <c r="CL909" s="177"/>
      <c r="CM909" s="177"/>
      <c r="CN909" s="177"/>
      <c r="CO909" s="177"/>
      <c r="CP909" s="177"/>
      <c r="CQ909" s="177"/>
      <c r="CR909" s="177"/>
      <c r="CS909" s="177"/>
      <c r="CT909" s="177"/>
      <c r="CU909" s="177"/>
      <c r="CV909" s="172"/>
      <c r="CW909" s="172"/>
      <c r="CX909" s="172"/>
      <c r="CY909" s="172"/>
      <c r="CZ909" s="172"/>
      <c r="DA909" s="196"/>
      <c r="DC909" s="169"/>
      <c r="DD909" s="177"/>
      <c r="DE909" s="177"/>
      <c r="DF909" s="177"/>
      <c r="DG909" s="177"/>
      <c r="DH909" s="177"/>
      <c r="DI909" s="177"/>
      <c r="DJ909" s="177"/>
      <c r="DK909" s="177"/>
      <c r="DL909" s="177"/>
      <c r="DM909" s="177"/>
      <c r="DN909" s="177"/>
      <c r="DO909" s="177"/>
      <c r="DP909" s="177"/>
      <c r="DQ909" s="172"/>
      <c r="DR909" s="172"/>
      <c r="DS909" s="172"/>
      <c r="DT909" s="172"/>
      <c r="DU909" s="172"/>
      <c r="DV909" s="196"/>
    </row>
    <row r="910" spans="85:126" x14ac:dyDescent="0.2">
      <c r="CG910" s="179"/>
      <c r="CH910" s="169"/>
      <c r="CI910" s="177"/>
      <c r="CJ910" s="177"/>
      <c r="CK910" s="177"/>
      <c r="CL910" s="177"/>
      <c r="CM910" s="177"/>
      <c r="CN910" s="177"/>
      <c r="CO910" s="177"/>
      <c r="CP910" s="177"/>
      <c r="CQ910" s="177"/>
      <c r="CR910" s="177"/>
      <c r="CS910" s="177"/>
      <c r="CT910" s="177"/>
      <c r="CU910" s="177"/>
      <c r="CV910" s="172"/>
      <c r="CW910" s="172"/>
      <c r="CX910" s="172"/>
      <c r="CY910" s="172"/>
      <c r="CZ910" s="172"/>
      <c r="DA910" s="196"/>
      <c r="DC910" s="169"/>
      <c r="DD910" s="177"/>
      <c r="DE910" s="177"/>
      <c r="DF910" s="177"/>
      <c r="DG910" s="177"/>
      <c r="DH910" s="177"/>
      <c r="DI910" s="177"/>
      <c r="DJ910" s="177"/>
      <c r="DK910" s="177"/>
      <c r="DL910" s="177"/>
      <c r="DM910" s="177"/>
      <c r="DN910" s="177"/>
      <c r="DO910" s="177"/>
      <c r="DP910" s="177"/>
      <c r="DQ910" s="172"/>
      <c r="DR910" s="172"/>
      <c r="DS910" s="172"/>
      <c r="DT910" s="172"/>
      <c r="DU910" s="172"/>
      <c r="DV910" s="196"/>
    </row>
    <row r="911" spans="85:126" x14ac:dyDescent="0.2">
      <c r="CG911" s="179"/>
      <c r="CH911" s="169"/>
      <c r="CI911" s="177"/>
      <c r="CJ911" s="177"/>
      <c r="CK911" s="177"/>
      <c r="CL911" s="177"/>
      <c r="CM911" s="177"/>
      <c r="CN911" s="177"/>
      <c r="CO911" s="177"/>
      <c r="CP911" s="177"/>
      <c r="CQ911" s="177"/>
      <c r="CR911" s="177"/>
      <c r="CS911" s="177"/>
      <c r="CT911" s="177"/>
      <c r="CU911" s="177"/>
      <c r="CV911" s="172"/>
      <c r="CW911" s="172"/>
      <c r="CX911" s="172"/>
      <c r="CY911" s="172"/>
      <c r="CZ911" s="172"/>
      <c r="DA911" s="196"/>
      <c r="DC911" s="169"/>
      <c r="DD911" s="177"/>
      <c r="DE911" s="177"/>
      <c r="DF911" s="177"/>
      <c r="DG911" s="177"/>
      <c r="DH911" s="177"/>
      <c r="DI911" s="177"/>
      <c r="DJ911" s="177"/>
      <c r="DK911" s="177"/>
      <c r="DL911" s="177"/>
      <c r="DM911" s="177"/>
      <c r="DN911" s="177"/>
      <c r="DO911" s="177"/>
      <c r="DP911" s="177"/>
      <c r="DQ911" s="172"/>
      <c r="DR911" s="172"/>
      <c r="DS911" s="172"/>
      <c r="DT911" s="172"/>
      <c r="DU911" s="172"/>
      <c r="DV911" s="196"/>
    </row>
    <row r="912" spans="85:126" x14ac:dyDescent="0.2">
      <c r="CG912" s="179"/>
      <c r="CH912" s="169"/>
      <c r="CI912" s="177"/>
      <c r="CJ912" s="177"/>
      <c r="CK912" s="177"/>
      <c r="CL912" s="177"/>
      <c r="CM912" s="177"/>
      <c r="CN912" s="177"/>
      <c r="CO912" s="177"/>
      <c r="CP912" s="177"/>
      <c r="CQ912" s="177"/>
      <c r="CR912" s="177"/>
      <c r="CS912" s="177"/>
      <c r="CT912" s="177"/>
      <c r="CU912" s="177"/>
      <c r="CV912" s="172"/>
      <c r="CW912" s="172"/>
      <c r="CX912" s="172"/>
      <c r="CY912" s="172"/>
      <c r="CZ912" s="172"/>
      <c r="DA912" s="196"/>
      <c r="DC912" s="169"/>
      <c r="DD912" s="177"/>
      <c r="DE912" s="177"/>
      <c r="DF912" s="177"/>
      <c r="DG912" s="177"/>
      <c r="DH912" s="177"/>
      <c r="DI912" s="177"/>
      <c r="DJ912" s="177"/>
      <c r="DK912" s="177"/>
      <c r="DL912" s="177"/>
      <c r="DM912" s="177"/>
      <c r="DN912" s="177"/>
      <c r="DO912" s="177"/>
      <c r="DP912" s="177"/>
      <c r="DQ912" s="172"/>
      <c r="DR912" s="172"/>
      <c r="DS912" s="172"/>
      <c r="DT912" s="172"/>
      <c r="DU912" s="172"/>
      <c r="DV912" s="196"/>
    </row>
    <row r="913" spans="85:126" x14ac:dyDescent="0.2">
      <c r="CG913" s="179"/>
      <c r="CH913" s="197"/>
      <c r="CI913" s="180"/>
      <c r="CJ913" s="180"/>
      <c r="CK913" s="180"/>
      <c r="CL913" s="180"/>
      <c r="CM913" s="180"/>
      <c r="CN913" s="180"/>
      <c r="CO913" s="180"/>
      <c r="CP913" s="180"/>
      <c r="CQ913" s="180"/>
      <c r="CR913" s="180"/>
      <c r="CS913" s="180"/>
      <c r="CT913" s="180"/>
      <c r="CU913" s="180"/>
      <c r="CV913" s="173"/>
      <c r="CW913" s="173"/>
      <c r="CX913" s="173"/>
      <c r="CY913" s="173"/>
      <c r="CZ913" s="173"/>
      <c r="DA913" s="198"/>
      <c r="DC913" s="197"/>
      <c r="DD913" s="180"/>
      <c r="DE913" s="180"/>
      <c r="DF913" s="180"/>
      <c r="DG913" s="180"/>
      <c r="DH913" s="180"/>
      <c r="DI913" s="180"/>
      <c r="DJ913" s="180"/>
      <c r="DK913" s="180"/>
      <c r="DL913" s="180"/>
      <c r="DM913" s="180"/>
      <c r="DN913" s="180"/>
      <c r="DO913" s="180"/>
      <c r="DP913" s="180"/>
      <c r="DQ913" s="173"/>
      <c r="DR913" s="173"/>
      <c r="DS913" s="173"/>
      <c r="DT913" s="173"/>
      <c r="DU913" s="173"/>
      <c r="DV913" s="198"/>
    </row>
    <row r="914" spans="85:126" x14ac:dyDescent="0.2">
      <c r="CG914" s="179"/>
      <c r="CH914" s="197"/>
      <c r="CI914" s="180"/>
      <c r="CJ914" s="180"/>
      <c r="CK914" s="180"/>
      <c r="CL914" s="180"/>
      <c r="CM914" s="180"/>
      <c r="CN914" s="180"/>
      <c r="CO914" s="180"/>
      <c r="CP914" s="180"/>
      <c r="CQ914" s="180"/>
      <c r="CR914" s="180"/>
      <c r="CS914" s="180"/>
      <c r="CT914" s="180"/>
      <c r="CU914" s="180"/>
      <c r="CV914" s="173"/>
      <c r="CW914" s="173"/>
      <c r="CX914" s="173"/>
      <c r="CY914" s="173"/>
      <c r="CZ914" s="173"/>
      <c r="DA914" s="198"/>
      <c r="DC914" s="197"/>
      <c r="DD914" s="180"/>
      <c r="DE914" s="180"/>
      <c r="DF914" s="180"/>
      <c r="DG914" s="180"/>
      <c r="DH914" s="180"/>
      <c r="DI914" s="180"/>
      <c r="DJ914" s="180"/>
      <c r="DK914" s="180"/>
      <c r="DL914" s="180"/>
      <c r="DM914" s="180"/>
      <c r="DN914" s="180"/>
      <c r="DO914" s="180"/>
      <c r="DP914" s="180"/>
      <c r="DQ914" s="173"/>
      <c r="DR914" s="173"/>
      <c r="DS914" s="173"/>
      <c r="DT914" s="173"/>
      <c r="DU914" s="173"/>
      <c r="DV914" s="198"/>
    </row>
    <row r="915" spans="85:126" x14ac:dyDescent="0.2">
      <c r="CG915" s="179"/>
      <c r="CH915" s="197"/>
      <c r="CI915" s="180"/>
      <c r="CJ915" s="180"/>
      <c r="CK915" s="180"/>
      <c r="CL915" s="180"/>
      <c r="CM915" s="180"/>
      <c r="CN915" s="180"/>
      <c r="CO915" s="180"/>
      <c r="CP915" s="180"/>
      <c r="CQ915" s="180"/>
      <c r="CR915" s="180"/>
      <c r="CS915" s="180"/>
      <c r="CT915" s="180"/>
      <c r="CU915" s="180"/>
      <c r="CV915" s="173"/>
      <c r="CW915" s="173"/>
      <c r="CX915" s="173"/>
      <c r="CY915" s="173"/>
      <c r="CZ915" s="173"/>
      <c r="DA915" s="198"/>
      <c r="DC915" s="197"/>
      <c r="DD915" s="180"/>
      <c r="DE915" s="180"/>
      <c r="DF915" s="180"/>
      <c r="DG915" s="180"/>
      <c r="DH915" s="180"/>
      <c r="DI915" s="180"/>
      <c r="DJ915" s="180"/>
      <c r="DK915" s="180"/>
      <c r="DL915" s="180"/>
      <c r="DM915" s="180"/>
      <c r="DN915" s="180"/>
      <c r="DO915" s="180"/>
      <c r="DP915" s="180"/>
      <c r="DQ915" s="173"/>
      <c r="DR915" s="173"/>
      <c r="DS915" s="173"/>
      <c r="DT915" s="173"/>
      <c r="DU915" s="173"/>
      <c r="DV915" s="198"/>
    </row>
    <row r="916" spans="85:126" x14ac:dyDescent="0.2">
      <c r="CG916" s="179"/>
      <c r="CH916" s="197"/>
      <c r="CI916" s="180"/>
      <c r="CJ916" s="180"/>
      <c r="CK916" s="180"/>
      <c r="CL916" s="180"/>
      <c r="CM916" s="180"/>
      <c r="CN916" s="180"/>
      <c r="CO916" s="180"/>
      <c r="CP916" s="180"/>
      <c r="CQ916" s="180"/>
      <c r="CR916" s="180"/>
      <c r="CS916" s="180"/>
      <c r="CT916" s="180"/>
      <c r="CU916" s="180"/>
      <c r="CV916" s="173"/>
      <c r="CW916" s="173"/>
      <c r="CX916" s="173"/>
      <c r="CY916" s="173"/>
      <c r="CZ916" s="173"/>
      <c r="DA916" s="198"/>
      <c r="DC916" s="197"/>
      <c r="DD916" s="180"/>
      <c r="DE916" s="180"/>
      <c r="DF916" s="180"/>
      <c r="DG916" s="180"/>
      <c r="DH916" s="180"/>
      <c r="DI916" s="180"/>
      <c r="DJ916" s="180"/>
      <c r="DK916" s="180"/>
      <c r="DL916" s="180"/>
      <c r="DM916" s="180"/>
      <c r="DN916" s="180"/>
      <c r="DO916" s="180"/>
      <c r="DP916" s="180"/>
      <c r="DQ916" s="173"/>
      <c r="DR916" s="173"/>
      <c r="DS916" s="173"/>
      <c r="DT916" s="173"/>
      <c r="DU916" s="173"/>
      <c r="DV916" s="198"/>
    </row>
    <row r="917" spans="85:126" x14ac:dyDescent="0.2">
      <c r="CG917" s="179"/>
      <c r="CH917" s="197"/>
      <c r="CI917" s="180"/>
      <c r="CJ917" s="180"/>
      <c r="CK917" s="180"/>
      <c r="CL917" s="180"/>
      <c r="CM917" s="180"/>
      <c r="CN917" s="180"/>
      <c r="CO917" s="180"/>
      <c r="CP917" s="180"/>
      <c r="CQ917" s="180"/>
      <c r="CR917" s="180"/>
      <c r="CS917" s="180"/>
      <c r="CT917" s="180"/>
      <c r="CU917" s="180"/>
      <c r="CV917" s="173"/>
      <c r="CW917" s="173"/>
      <c r="CX917" s="173"/>
      <c r="CY917" s="173"/>
      <c r="CZ917" s="173"/>
      <c r="DA917" s="198"/>
      <c r="DC917" s="197"/>
      <c r="DD917" s="180"/>
      <c r="DE917" s="180"/>
      <c r="DF917" s="180"/>
      <c r="DG917" s="180"/>
      <c r="DH917" s="180"/>
      <c r="DI917" s="180"/>
      <c r="DJ917" s="180"/>
      <c r="DK917" s="180"/>
      <c r="DL917" s="180"/>
      <c r="DM917" s="180"/>
      <c r="DN917" s="180"/>
      <c r="DO917" s="180"/>
      <c r="DP917" s="180"/>
      <c r="DQ917" s="173"/>
      <c r="DR917" s="173"/>
      <c r="DS917" s="173"/>
      <c r="DT917" s="173"/>
      <c r="DU917" s="173"/>
      <c r="DV917" s="198"/>
    </row>
    <row r="918" spans="85:126" x14ac:dyDescent="0.2">
      <c r="CG918" s="176"/>
      <c r="CH918" s="197"/>
      <c r="CI918" s="180"/>
      <c r="CJ918" s="180"/>
      <c r="CK918" s="180"/>
      <c r="CL918" s="180"/>
      <c r="CM918" s="180"/>
      <c r="CN918" s="180"/>
      <c r="CO918" s="180"/>
      <c r="CP918" s="180"/>
      <c r="CQ918" s="180"/>
      <c r="CR918" s="180"/>
      <c r="CS918" s="180"/>
      <c r="CT918" s="180"/>
      <c r="CU918" s="180"/>
      <c r="CV918" s="173"/>
      <c r="CW918" s="173"/>
      <c r="CX918" s="173"/>
      <c r="CY918" s="173"/>
      <c r="CZ918" s="173"/>
      <c r="DA918" s="198"/>
      <c r="DC918" s="197"/>
      <c r="DD918" s="180"/>
      <c r="DE918" s="180"/>
      <c r="DF918" s="180"/>
      <c r="DG918" s="180"/>
      <c r="DH918" s="180"/>
      <c r="DI918" s="180"/>
      <c r="DJ918" s="180"/>
      <c r="DK918" s="180"/>
      <c r="DL918" s="180"/>
      <c r="DM918" s="180"/>
      <c r="DN918" s="180"/>
      <c r="DO918" s="180"/>
      <c r="DP918" s="180"/>
      <c r="DQ918" s="173"/>
      <c r="DR918" s="173"/>
      <c r="DS918" s="173"/>
      <c r="DT918" s="173"/>
      <c r="DU918" s="173"/>
      <c r="DV918" s="198"/>
    </row>
    <row r="919" spans="85:126" x14ac:dyDescent="0.2">
      <c r="CG919" s="176"/>
      <c r="CH919" s="197"/>
      <c r="CI919" s="180"/>
      <c r="CJ919" s="180"/>
      <c r="CK919" s="180"/>
      <c r="CL919" s="180"/>
      <c r="CM919" s="180"/>
      <c r="CN919" s="180"/>
      <c r="CO919" s="180"/>
      <c r="CP919" s="180"/>
      <c r="CQ919" s="180"/>
      <c r="CR919" s="180"/>
      <c r="CS919" s="180"/>
      <c r="CT919" s="180"/>
      <c r="CU919" s="180"/>
      <c r="CV919" s="173"/>
      <c r="CW919" s="173"/>
      <c r="CX919" s="173"/>
      <c r="CY919" s="173"/>
      <c r="CZ919" s="173"/>
      <c r="DA919" s="198"/>
      <c r="DC919" s="197"/>
      <c r="DD919" s="180"/>
      <c r="DE919" s="180"/>
      <c r="DF919" s="180"/>
      <c r="DG919" s="180"/>
      <c r="DH919" s="180"/>
      <c r="DI919" s="180"/>
      <c r="DJ919" s="180"/>
      <c r="DK919" s="180"/>
      <c r="DL919" s="180"/>
      <c r="DM919" s="180"/>
      <c r="DN919" s="180"/>
      <c r="DO919" s="180"/>
      <c r="DP919" s="180"/>
      <c r="DQ919" s="173"/>
      <c r="DR919" s="173"/>
      <c r="DS919" s="173"/>
      <c r="DT919" s="173"/>
      <c r="DU919" s="173"/>
      <c r="DV919" s="198"/>
    </row>
    <row r="920" spans="85:126" x14ac:dyDescent="0.2">
      <c r="CG920" s="176"/>
      <c r="CH920" s="199"/>
      <c r="CI920" s="200"/>
      <c r="CJ920" s="200"/>
      <c r="CK920" s="200"/>
      <c r="CL920" s="200"/>
      <c r="CM920" s="200"/>
      <c r="CN920" s="200"/>
      <c r="CO920" s="200"/>
      <c r="CP920" s="200"/>
      <c r="CQ920" s="201"/>
      <c r="CR920" s="202"/>
      <c r="CS920" s="200"/>
      <c r="CT920" s="200"/>
      <c r="CU920" s="200"/>
      <c r="CV920" s="203"/>
      <c r="CW920" s="203"/>
      <c r="CX920" s="203"/>
      <c r="CY920" s="203"/>
      <c r="CZ920" s="203"/>
      <c r="DA920" s="204"/>
      <c r="DC920" s="199"/>
      <c r="DD920" s="200"/>
      <c r="DE920" s="200"/>
      <c r="DF920" s="200"/>
      <c r="DG920" s="200"/>
      <c r="DH920" s="200"/>
      <c r="DI920" s="200"/>
      <c r="DJ920" s="200"/>
      <c r="DK920" s="200"/>
      <c r="DL920" s="200"/>
      <c r="DM920" s="200"/>
      <c r="DN920" s="200"/>
      <c r="DO920" s="200"/>
      <c r="DP920" s="200"/>
      <c r="DQ920" s="203"/>
      <c r="DR920" s="203"/>
      <c r="DS920" s="203"/>
      <c r="DT920" s="203"/>
      <c r="DU920" s="203"/>
      <c r="DV920" s="204"/>
    </row>
    <row r="921" spans="85:126" x14ac:dyDescent="0.2">
      <c r="CG921" s="176">
        <v>47</v>
      </c>
      <c r="CH921" s="192"/>
      <c r="CI921" s="193"/>
      <c r="CJ921" s="193"/>
      <c r="CK921" s="193"/>
      <c r="CL921" s="193"/>
      <c r="CM921" s="193"/>
      <c r="CN921" s="193"/>
      <c r="CO921" s="193"/>
      <c r="CP921" s="193"/>
      <c r="CQ921" s="193"/>
      <c r="CR921" s="193"/>
      <c r="CS921" s="193"/>
      <c r="CT921" s="193"/>
      <c r="CU921" s="193"/>
      <c r="CV921" s="194"/>
      <c r="CW921" s="194"/>
      <c r="CX921" s="194"/>
      <c r="CY921" s="194"/>
      <c r="CZ921" s="194"/>
      <c r="DA921" s="195"/>
      <c r="DC921" s="192"/>
      <c r="DD921" s="193"/>
      <c r="DE921" s="193"/>
      <c r="DF921" s="193"/>
      <c r="DG921" s="193"/>
      <c r="DH921" s="193"/>
      <c r="DI921" s="193"/>
      <c r="DJ921" s="193"/>
      <c r="DK921" s="193"/>
      <c r="DL921" s="193"/>
      <c r="DM921" s="193"/>
      <c r="DN921" s="193"/>
      <c r="DO921" s="193"/>
      <c r="DP921" s="193"/>
      <c r="DQ921" s="194"/>
      <c r="DR921" s="194"/>
      <c r="DS921" s="194"/>
      <c r="DT921" s="194"/>
      <c r="DU921" s="194"/>
      <c r="DV921" s="195"/>
    </row>
    <row r="922" spans="85:126" x14ac:dyDescent="0.2">
      <c r="CG922" s="176"/>
      <c r="CH922" s="169"/>
      <c r="CI922" s="177"/>
      <c r="CJ922" s="177"/>
      <c r="CK922" s="177"/>
      <c r="CL922" s="177"/>
      <c r="CM922" s="177"/>
      <c r="CN922" s="177"/>
      <c r="CO922" s="177"/>
      <c r="CP922" s="177"/>
      <c r="CQ922" s="177"/>
      <c r="CR922" s="177"/>
      <c r="CS922" s="177"/>
      <c r="CT922" s="177"/>
      <c r="CU922" s="177"/>
      <c r="CV922" s="172"/>
      <c r="CW922" s="172"/>
      <c r="CX922" s="172"/>
      <c r="CY922" s="172"/>
      <c r="CZ922" s="172"/>
      <c r="DA922" s="196"/>
      <c r="DC922" s="169"/>
      <c r="DD922" s="177"/>
      <c r="DE922" s="177"/>
      <c r="DF922" s="177"/>
      <c r="DG922" s="177"/>
      <c r="DH922" s="177"/>
      <c r="DI922" s="177"/>
      <c r="DJ922" s="177"/>
      <c r="DK922" s="177"/>
      <c r="DL922" s="177"/>
      <c r="DM922" s="177"/>
      <c r="DN922" s="177"/>
      <c r="DO922" s="177"/>
      <c r="DP922" s="177"/>
      <c r="DQ922" s="172"/>
      <c r="DR922" s="172"/>
      <c r="DS922" s="172"/>
      <c r="DT922" s="172"/>
      <c r="DU922" s="172"/>
      <c r="DV922" s="196"/>
    </row>
    <row r="923" spans="85:126" x14ac:dyDescent="0.2">
      <c r="CG923" s="131"/>
      <c r="CH923" s="169"/>
      <c r="CI923" s="177"/>
      <c r="CJ923" s="177"/>
      <c r="CK923" s="177"/>
      <c r="CL923" s="177"/>
      <c r="CM923" s="177"/>
      <c r="CN923" s="177"/>
      <c r="CO923" s="177"/>
      <c r="CP923" s="177"/>
      <c r="CQ923" s="177"/>
      <c r="CR923" s="177"/>
      <c r="CS923" s="177"/>
      <c r="CT923" s="177"/>
      <c r="CU923" s="177"/>
      <c r="CV923" s="172"/>
      <c r="CW923" s="172"/>
      <c r="CX923" s="172"/>
      <c r="CY923" s="172"/>
      <c r="CZ923" s="172"/>
      <c r="DA923" s="196"/>
      <c r="DC923" s="169"/>
      <c r="DD923" s="177"/>
      <c r="DE923" s="177"/>
      <c r="DF923" s="177"/>
      <c r="DG923" s="177"/>
      <c r="DH923" s="177"/>
      <c r="DI923" s="177"/>
      <c r="DJ923" s="177"/>
      <c r="DK923" s="177"/>
      <c r="DL923" s="177"/>
      <c r="DM923" s="177"/>
      <c r="DN923" s="177"/>
      <c r="DO923" s="177"/>
      <c r="DP923" s="177"/>
      <c r="DQ923" s="172"/>
      <c r="DR923" s="172"/>
      <c r="DS923" s="172"/>
      <c r="DT923" s="172"/>
      <c r="DU923" s="172"/>
      <c r="DV923" s="196"/>
    </row>
    <row r="924" spans="85:126" x14ac:dyDescent="0.2">
      <c r="CG924" s="176"/>
      <c r="CH924" s="169"/>
      <c r="CI924" s="177"/>
      <c r="CJ924" s="177"/>
      <c r="CK924" s="177"/>
      <c r="CL924" s="177"/>
      <c r="CM924" s="177"/>
      <c r="CN924" s="177"/>
      <c r="CO924" s="177"/>
      <c r="CP924" s="177"/>
      <c r="CQ924" s="177"/>
      <c r="CR924" s="177"/>
      <c r="CS924" s="177"/>
      <c r="CT924" s="177"/>
      <c r="CU924" s="177"/>
      <c r="CV924" s="172"/>
      <c r="CW924" s="172"/>
      <c r="CX924" s="172"/>
      <c r="CY924" s="172"/>
      <c r="CZ924" s="172"/>
      <c r="DA924" s="196"/>
      <c r="DC924" s="169"/>
      <c r="DD924" s="177"/>
      <c r="DE924" s="177"/>
      <c r="DF924" s="177"/>
      <c r="DG924" s="177"/>
      <c r="DH924" s="177"/>
      <c r="DI924" s="177"/>
      <c r="DJ924" s="177"/>
      <c r="DK924" s="177"/>
      <c r="DL924" s="177"/>
      <c r="DM924" s="177"/>
      <c r="DN924" s="177"/>
      <c r="DO924" s="177"/>
      <c r="DP924" s="177"/>
      <c r="DQ924" s="172"/>
      <c r="DR924" s="172"/>
      <c r="DS924" s="172"/>
      <c r="DT924" s="172"/>
      <c r="DU924" s="172"/>
      <c r="DV924" s="196"/>
    </row>
    <row r="925" spans="85:126" x14ac:dyDescent="0.2">
      <c r="CG925" s="178"/>
      <c r="CH925" s="169"/>
      <c r="CI925" s="177"/>
      <c r="CJ925" s="177"/>
      <c r="CK925" s="177"/>
      <c r="CL925" s="177"/>
      <c r="CM925" s="177"/>
      <c r="CN925" s="177"/>
      <c r="CO925" s="177"/>
      <c r="CP925" s="177"/>
      <c r="CQ925" s="177"/>
      <c r="CR925" s="177"/>
      <c r="CS925" s="177"/>
      <c r="CT925" s="177"/>
      <c r="CU925" s="177"/>
      <c r="CV925" s="172"/>
      <c r="CW925" s="172"/>
      <c r="CX925" s="172"/>
      <c r="CY925" s="172"/>
      <c r="CZ925" s="172"/>
      <c r="DA925" s="196"/>
      <c r="DC925" s="169"/>
      <c r="DD925" s="177"/>
      <c r="DE925" s="177"/>
      <c r="DF925" s="177"/>
      <c r="DG925" s="177"/>
      <c r="DH925" s="177"/>
      <c r="DI925" s="177"/>
      <c r="DJ925" s="177"/>
      <c r="DK925" s="177"/>
      <c r="DL925" s="177"/>
      <c r="DM925" s="177"/>
      <c r="DN925" s="177"/>
      <c r="DO925" s="177"/>
      <c r="DP925" s="177"/>
      <c r="DQ925" s="172"/>
      <c r="DR925" s="172"/>
      <c r="DS925" s="172"/>
      <c r="DT925" s="172"/>
      <c r="DU925" s="172"/>
      <c r="DV925" s="196"/>
    </row>
    <row r="926" spans="85:126" x14ac:dyDescent="0.2">
      <c r="CG926" s="179"/>
      <c r="CH926" s="169"/>
      <c r="CI926" s="177"/>
      <c r="CJ926" s="177"/>
      <c r="CK926" s="177"/>
      <c r="CL926" s="177"/>
      <c r="CM926" s="177"/>
      <c r="CN926" s="177"/>
      <c r="CO926" s="177"/>
      <c r="CP926" s="177"/>
      <c r="CQ926" s="177"/>
      <c r="CR926" s="177"/>
      <c r="CS926" s="177"/>
      <c r="CT926" s="177"/>
      <c r="CU926" s="177"/>
      <c r="CV926" s="172"/>
      <c r="CW926" s="172"/>
      <c r="CX926" s="172"/>
      <c r="CY926" s="172"/>
      <c r="CZ926" s="172"/>
      <c r="DA926" s="196"/>
      <c r="DC926" s="169"/>
      <c r="DD926" s="177"/>
      <c r="DE926" s="177"/>
      <c r="DF926" s="177"/>
      <c r="DG926" s="177"/>
      <c r="DH926" s="177"/>
      <c r="DI926" s="177"/>
      <c r="DJ926" s="177"/>
      <c r="DK926" s="177"/>
      <c r="DL926" s="177"/>
      <c r="DM926" s="177"/>
      <c r="DN926" s="177"/>
      <c r="DO926" s="177"/>
      <c r="DP926" s="177"/>
      <c r="DQ926" s="172"/>
      <c r="DR926" s="172"/>
      <c r="DS926" s="172"/>
      <c r="DT926" s="172"/>
      <c r="DU926" s="172"/>
      <c r="DV926" s="196"/>
    </row>
    <row r="927" spans="85:126" x14ac:dyDescent="0.2">
      <c r="CG927" s="179"/>
      <c r="CH927" s="169"/>
      <c r="CI927" s="177"/>
      <c r="CJ927" s="177"/>
      <c r="CK927" s="177"/>
      <c r="CL927" s="177"/>
      <c r="CM927" s="177"/>
      <c r="CN927" s="177"/>
      <c r="CO927" s="177"/>
      <c r="CP927" s="177"/>
      <c r="CQ927" s="177"/>
      <c r="CR927" s="177"/>
      <c r="CS927" s="177"/>
      <c r="CT927" s="177"/>
      <c r="CU927" s="177"/>
      <c r="CV927" s="172"/>
      <c r="CW927" s="172"/>
      <c r="CX927" s="172"/>
      <c r="CY927" s="172"/>
      <c r="CZ927" s="172"/>
      <c r="DA927" s="196"/>
      <c r="DC927" s="169"/>
      <c r="DD927" s="177"/>
      <c r="DE927" s="177"/>
      <c r="DF927" s="177"/>
      <c r="DG927" s="177"/>
      <c r="DH927" s="177"/>
      <c r="DI927" s="177"/>
      <c r="DJ927" s="177"/>
      <c r="DK927" s="177"/>
      <c r="DL927" s="177"/>
      <c r="DM927" s="177"/>
      <c r="DN927" s="177"/>
      <c r="DO927" s="177"/>
      <c r="DP927" s="177"/>
      <c r="DQ927" s="172"/>
      <c r="DR927" s="172"/>
      <c r="DS927" s="172"/>
      <c r="DT927" s="172"/>
      <c r="DU927" s="172"/>
      <c r="DV927" s="196"/>
    </row>
    <row r="928" spans="85:126" x14ac:dyDescent="0.2">
      <c r="CG928" s="179"/>
      <c r="CH928" s="169"/>
      <c r="CI928" s="177"/>
      <c r="CJ928" s="177"/>
      <c r="CK928" s="177"/>
      <c r="CL928" s="177"/>
      <c r="CM928" s="177"/>
      <c r="CN928" s="177"/>
      <c r="CO928" s="177"/>
      <c r="CP928" s="177"/>
      <c r="CQ928" s="177"/>
      <c r="CR928" s="177"/>
      <c r="CS928" s="177"/>
      <c r="CT928" s="177"/>
      <c r="CU928" s="177"/>
      <c r="CV928" s="172"/>
      <c r="CW928" s="172"/>
      <c r="CX928" s="172"/>
      <c r="CY928" s="172"/>
      <c r="CZ928" s="172"/>
      <c r="DA928" s="196"/>
      <c r="DC928" s="169"/>
      <c r="DD928" s="177"/>
      <c r="DE928" s="177"/>
      <c r="DF928" s="177"/>
      <c r="DG928" s="177"/>
      <c r="DH928" s="177"/>
      <c r="DI928" s="177"/>
      <c r="DJ928" s="177"/>
      <c r="DK928" s="177"/>
      <c r="DL928" s="177"/>
      <c r="DM928" s="177"/>
      <c r="DN928" s="177"/>
      <c r="DO928" s="177"/>
      <c r="DP928" s="177"/>
      <c r="DQ928" s="172"/>
      <c r="DR928" s="172"/>
      <c r="DS928" s="172"/>
      <c r="DT928" s="172"/>
      <c r="DU928" s="172"/>
      <c r="DV928" s="196"/>
    </row>
    <row r="929" spans="85:126" x14ac:dyDescent="0.2">
      <c r="CG929" s="179"/>
      <c r="CH929" s="169"/>
      <c r="CI929" s="177"/>
      <c r="CJ929" s="177"/>
      <c r="CK929" s="177"/>
      <c r="CL929" s="177"/>
      <c r="CM929" s="177"/>
      <c r="CN929" s="177"/>
      <c r="CO929" s="177"/>
      <c r="CP929" s="177"/>
      <c r="CQ929" s="177"/>
      <c r="CR929" s="177"/>
      <c r="CS929" s="177"/>
      <c r="CT929" s="177"/>
      <c r="CU929" s="177"/>
      <c r="CV929" s="172"/>
      <c r="CW929" s="172"/>
      <c r="CX929" s="172"/>
      <c r="CY929" s="172"/>
      <c r="CZ929" s="172"/>
      <c r="DA929" s="196"/>
      <c r="DC929" s="169"/>
      <c r="DD929" s="177"/>
      <c r="DE929" s="177"/>
      <c r="DF929" s="177"/>
      <c r="DG929" s="177"/>
      <c r="DH929" s="177"/>
      <c r="DI929" s="177"/>
      <c r="DJ929" s="177"/>
      <c r="DK929" s="177"/>
      <c r="DL929" s="177"/>
      <c r="DM929" s="177"/>
      <c r="DN929" s="177"/>
      <c r="DO929" s="177"/>
      <c r="DP929" s="177"/>
      <c r="DQ929" s="172"/>
      <c r="DR929" s="172"/>
      <c r="DS929" s="172"/>
      <c r="DT929" s="172"/>
      <c r="DU929" s="172"/>
      <c r="DV929" s="196"/>
    </row>
    <row r="930" spans="85:126" x14ac:dyDescent="0.2">
      <c r="CG930" s="179"/>
      <c r="CH930" s="169"/>
      <c r="CI930" s="177"/>
      <c r="CJ930" s="177"/>
      <c r="CK930" s="177"/>
      <c r="CL930" s="177"/>
      <c r="CM930" s="177"/>
      <c r="CN930" s="177"/>
      <c r="CO930" s="177"/>
      <c r="CP930" s="177"/>
      <c r="CQ930" s="177"/>
      <c r="CR930" s="177"/>
      <c r="CS930" s="177"/>
      <c r="CT930" s="177"/>
      <c r="CU930" s="177"/>
      <c r="CV930" s="172"/>
      <c r="CW930" s="172"/>
      <c r="CX930" s="172"/>
      <c r="CY930" s="172"/>
      <c r="CZ930" s="172"/>
      <c r="DA930" s="196"/>
      <c r="DC930" s="169"/>
      <c r="DD930" s="177"/>
      <c r="DE930" s="177"/>
      <c r="DF930" s="177"/>
      <c r="DG930" s="177"/>
      <c r="DH930" s="177"/>
      <c r="DI930" s="177"/>
      <c r="DJ930" s="177"/>
      <c r="DK930" s="177"/>
      <c r="DL930" s="177"/>
      <c r="DM930" s="177"/>
      <c r="DN930" s="177"/>
      <c r="DO930" s="177"/>
      <c r="DP930" s="177"/>
      <c r="DQ930" s="172"/>
      <c r="DR930" s="172"/>
      <c r="DS930" s="172"/>
      <c r="DT930" s="172"/>
      <c r="DU930" s="172"/>
      <c r="DV930" s="196"/>
    </row>
    <row r="931" spans="85:126" x14ac:dyDescent="0.2">
      <c r="CG931" s="179"/>
      <c r="CH931" s="169"/>
      <c r="CI931" s="177"/>
      <c r="CJ931" s="177"/>
      <c r="CK931" s="177"/>
      <c r="CL931" s="177"/>
      <c r="CM931" s="177"/>
      <c r="CN931" s="177"/>
      <c r="CO931" s="177"/>
      <c r="CP931" s="177"/>
      <c r="CQ931" s="177"/>
      <c r="CR931" s="177"/>
      <c r="CS931" s="177"/>
      <c r="CT931" s="177"/>
      <c r="CU931" s="177"/>
      <c r="CV931" s="172"/>
      <c r="CW931" s="172"/>
      <c r="CX931" s="172"/>
      <c r="CY931" s="172"/>
      <c r="CZ931" s="172"/>
      <c r="DA931" s="196"/>
      <c r="DC931" s="169"/>
      <c r="DD931" s="177"/>
      <c r="DE931" s="177"/>
      <c r="DF931" s="177"/>
      <c r="DG931" s="177"/>
      <c r="DH931" s="177"/>
      <c r="DI931" s="177"/>
      <c r="DJ931" s="177"/>
      <c r="DK931" s="177"/>
      <c r="DL931" s="177"/>
      <c r="DM931" s="177"/>
      <c r="DN931" s="177"/>
      <c r="DO931" s="177"/>
      <c r="DP931" s="177"/>
      <c r="DQ931" s="172"/>
      <c r="DR931" s="172"/>
      <c r="DS931" s="172"/>
      <c r="DT931" s="172"/>
      <c r="DU931" s="172"/>
      <c r="DV931" s="196"/>
    </row>
    <row r="932" spans="85:126" x14ac:dyDescent="0.2">
      <c r="CG932" s="179"/>
      <c r="CH932" s="169"/>
      <c r="CI932" s="177"/>
      <c r="CJ932" s="177"/>
      <c r="CK932" s="177"/>
      <c r="CL932" s="177"/>
      <c r="CM932" s="177"/>
      <c r="CN932" s="177"/>
      <c r="CO932" s="177"/>
      <c r="CP932" s="177"/>
      <c r="CQ932" s="177"/>
      <c r="CR932" s="177"/>
      <c r="CS932" s="177"/>
      <c r="CT932" s="177"/>
      <c r="CU932" s="177"/>
      <c r="CV932" s="172"/>
      <c r="CW932" s="172"/>
      <c r="CX932" s="172"/>
      <c r="CY932" s="172"/>
      <c r="CZ932" s="172"/>
      <c r="DA932" s="196"/>
      <c r="DC932" s="169"/>
      <c r="DD932" s="177"/>
      <c r="DE932" s="177"/>
      <c r="DF932" s="177"/>
      <c r="DG932" s="177"/>
      <c r="DH932" s="177"/>
      <c r="DI932" s="177"/>
      <c r="DJ932" s="177"/>
      <c r="DK932" s="177"/>
      <c r="DL932" s="177"/>
      <c r="DM932" s="177"/>
      <c r="DN932" s="177"/>
      <c r="DO932" s="177"/>
      <c r="DP932" s="177"/>
      <c r="DQ932" s="172"/>
      <c r="DR932" s="172"/>
      <c r="DS932" s="172"/>
      <c r="DT932" s="172"/>
      <c r="DU932" s="172"/>
      <c r="DV932" s="196"/>
    </row>
    <row r="933" spans="85:126" x14ac:dyDescent="0.2">
      <c r="CG933" s="179"/>
      <c r="CH933" s="197"/>
      <c r="CI933" s="180"/>
      <c r="CJ933" s="180"/>
      <c r="CK933" s="180"/>
      <c r="CL933" s="180"/>
      <c r="CM933" s="180"/>
      <c r="CN933" s="180"/>
      <c r="CO933" s="180"/>
      <c r="CP933" s="180"/>
      <c r="CQ933" s="180"/>
      <c r="CR933" s="180"/>
      <c r="CS933" s="180"/>
      <c r="CT933" s="180"/>
      <c r="CU933" s="180"/>
      <c r="CV933" s="173"/>
      <c r="CW933" s="173"/>
      <c r="CX933" s="173"/>
      <c r="CY933" s="173"/>
      <c r="CZ933" s="173"/>
      <c r="DA933" s="198"/>
      <c r="DC933" s="197"/>
      <c r="DD933" s="180"/>
      <c r="DE933" s="180"/>
      <c r="DF933" s="180"/>
      <c r="DG933" s="180"/>
      <c r="DH933" s="180"/>
      <c r="DI933" s="180"/>
      <c r="DJ933" s="180"/>
      <c r="DK933" s="180"/>
      <c r="DL933" s="180"/>
      <c r="DM933" s="180"/>
      <c r="DN933" s="180"/>
      <c r="DO933" s="180"/>
      <c r="DP933" s="180"/>
      <c r="DQ933" s="173"/>
      <c r="DR933" s="173"/>
      <c r="DS933" s="173"/>
      <c r="DT933" s="173"/>
      <c r="DU933" s="173"/>
      <c r="DV933" s="198"/>
    </row>
    <row r="934" spans="85:126" x14ac:dyDescent="0.2">
      <c r="CG934" s="179"/>
      <c r="CH934" s="197"/>
      <c r="CI934" s="180"/>
      <c r="CJ934" s="180"/>
      <c r="CK934" s="180"/>
      <c r="CL934" s="180"/>
      <c r="CM934" s="180"/>
      <c r="CN934" s="180"/>
      <c r="CO934" s="180"/>
      <c r="CP934" s="180"/>
      <c r="CQ934" s="180"/>
      <c r="CR934" s="180"/>
      <c r="CS934" s="180"/>
      <c r="CT934" s="180"/>
      <c r="CU934" s="180"/>
      <c r="CV934" s="173"/>
      <c r="CW934" s="173"/>
      <c r="CX934" s="173"/>
      <c r="CY934" s="173"/>
      <c r="CZ934" s="173"/>
      <c r="DA934" s="198"/>
      <c r="DC934" s="197"/>
      <c r="DD934" s="180"/>
      <c r="DE934" s="180"/>
      <c r="DF934" s="180"/>
      <c r="DG934" s="180"/>
      <c r="DH934" s="180"/>
      <c r="DI934" s="180"/>
      <c r="DJ934" s="180"/>
      <c r="DK934" s="180"/>
      <c r="DL934" s="180"/>
      <c r="DM934" s="180"/>
      <c r="DN934" s="180"/>
      <c r="DO934" s="180"/>
      <c r="DP934" s="180"/>
      <c r="DQ934" s="173"/>
      <c r="DR934" s="173"/>
      <c r="DS934" s="173"/>
      <c r="DT934" s="173"/>
      <c r="DU934" s="173"/>
      <c r="DV934" s="198"/>
    </row>
    <row r="935" spans="85:126" x14ac:dyDescent="0.2">
      <c r="CG935" s="179"/>
      <c r="CH935" s="197"/>
      <c r="CI935" s="180"/>
      <c r="CJ935" s="180"/>
      <c r="CK935" s="180"/>
      <c r="CL935" s="180"/>
      <c r="CM935" s="180"/>
      <c r="CN935" s="180"/>
      <c r="CO935" s="180"/>
      <c r="CP935" s="180"/>
      <c r="CQ935" s="180"/>
      <c r="CR935" s="180"/>
      <c r="CS935" s="180"/>
      <c r="CT935" s="180"/>
      <c r="CU935" s="180"/>
      <c r="CV935" s="173"/>
      <c r="CW935" s="173"/>
      <c r="CX935" s="173"/>
      <c r="CY935" s="173"/>
      <c r="CZ935" s="173"/>
      <c r="DA935" s="198"/>
      <c r="DC935" s="197"/>
      <c r="DD935" s="180"/>
      <c r="DE935" s="180"/>
      <c r="DF935" s="180"/>
      <c r="DG935" s="180"/>
      <c r="DH935" s="180"/>
      <c r="DI935" s="180"/>
      <c r="DJ935" s="180"/>
      <c r="DK935" s="180"/>
      <c r="DL935" s="180"/>
      <c r="DM935" s="180"/>
      <c r="DN935" s="180"/>
      <c r="DO935" s="180"/>
      <c r="DP935" s="180"/>
      <c r="DQ935" s="173"/>
      <c r="DR935" s="173"/>
      <c r="DS935" s="173"/>
      <c r="DT935" s="173"/>
      <c r="DU935" s="173"/>
      <c r="DV935" s="198"/>
    </row>
    <row r="936" spans="85:126" x14ac:dyDescent="0.2">
      <c r="CG936" s="179"/>
      <c r="CH936" s="197"/>
      <c r="CI936" s="180"/>
      <c r="CJ936" s="180"/>
      <c r="CK936" s="180"/>
      <c r="CL936" s="180"/>
      <c r="CM936" s="180"/>
      <c r="CN936" s="180"/>
      <c r="CO936" s="180"/>
      <c r="CP936" s="180"/>
      <c r="CQ936" s="180"/>
      <c r="CR936" s="180"/>
      <c r="CS936" s="180"/>
      <c r="CT936" s="180"/>
      <c r="CU936" s="180"/>
      <c r="CV936" s="173"/>
      <c r="CW936" s="173"/>
      <c r="CX936" s="173"/>
      <c r="CY936" s="173"/>
      <c r="CZ936" s="173"/>
      <c r="DA936" s="198"/>
      <c r="DC936" s="197"/>
      <c r="DD936" s="180"/>
      <c r="DE936" s="180"/>
      <c r="DF936" s="180"/>
      <c r="DG936" s="180"/>
      <c r="DH936" s="180"/>
      <c r="DI936" s="180"/>
      <c r="DJ936" s="180"/>
      <c r="DK936" s="180"/>
      <c r="DL936" s="180"/>
      <c r="DM936" s="180"/>
      <c r="DN936" s="180"/>
      <c r="DO936" s="180"/>
      <c r="DP936" s="180"/>
      <c r="DQ936" s="173"/>
      <c r="DR936" s="173"/>
      <c r="DS936" s="173"/>
      <c r="DT936" s="173"/>
      <c r="DU936" s="173"/>
      <c r="DV936" s="198"/>
    </row>
    <row r="937" spans="85:126" x14ac:dyDescent="0.2">
      <c r="CG937" s="179"/>
      <c r="CH937" s="197"/>
      <c r="CI937" s="180"/>
      <c r="CJ937" s="180"/>
      <c r="CK937" s="180"/>
      <c r="CL937" s="180"/>
      <c r="CM937" s="180"/>
      <c r="CN937" s="180"/>
      <c r="CO937" s="180"/>
      <c r="CP937" s="180"/>
      <c r="CQ937" s="180"/>
      <c r="CR937" s="180"/>
      <c r="CS937" s="180"/>
      <c r="CT937" s="180"/>
      <c r="CU937" s="180"/>
      <c r="CV937" s="173"/>
      <c r="CW937" s="173"/>
      <c r="CX937" s="173"/>
      <c r="CY937" s="173"/>
      <c r="CZ937" s="173"/>
      <c r="DA937" s="198"/>
      <c r="DC937" s="197"/>
      <c r="DD937" s="180"/>
      <c r="DE937" s="180"/>
      <c r="DF937" s="180"/>
      <c r="DG937" s="180"/>
      <c r="DH937" s="180"/>
      <c r="DI937" s="180"/>
      <c r="DJ937" s="180"/>
      <c r="DK937" s="180"/>
      <c r="DL937" s="180"/>
      <c r="DM937" s="180"/>
      <c r="DN937" s="180"/>
      <c r="DO937" s="180"/>
      <c r="DP937" s="180"/>
      <c r="DQ937" s="173"/>
      <c r="DR937" s="173"/>
      <c r="DS937" s="173"/>
      <c r="DT937" s="173"/>
      <c r="DU937" s="173"/>
      <c r="DV937" s="198"/>
    </row>
    <row r="938" spans="85:126" x14ac:dyDescent="0.2">
      <c r="CG938" s="176"/>
      <c r="CH938" s="197"/>
      <c r="CI938" s="180"/>
      <c r="CJ938" s="180"/>
      <c r="CK938" s="180"/>
      <c r="CL938" s="180"/>
      <c r="CM938" s="180"/>
      <c r="CN938" s="180"/>
      <c r="CO938" s="180"/>
      <c r="CP938" s="180"/>
      <c r="CQ938" s="180"/>
      <c r="CR938" s="180"/>
      <c r="CS938" s="180"/>
      <c r="CT938" s="180"/>
      <c r="CU938" s="180"/>
      <c r="CV938" s="173"/>
      <c r="CW938" s="173"/>
      <c r="CX938" s="173"/>
      <c r="CY938" s="173"/>
      <c r="CZ938" s="173"/>
      <c r="DA938" s="198"/>
      <c r="DC938" s="197"/>
      <c r="DD938" s="180"/>
      <c r="DE938" s="180"/>
      <c r="DF938" s="180"/>
      <c r="DG938" s="180"/>
      <c r="DH938" s="180"/>
      <c r="DI938" s="180"/>
      <c r="DJ938" s="180"/>
      <c r="DK938" s="180"/>
      <c r="DL938" s="180"/>
      <c r="DM938" s="180"/>
      <c r="DN938" s="180"/>
      <c r="DO938" s="180"/>
      <c r="DP938" s="180"/>
      <c r="DQ938" s="173"/>
      <c r="DR938" s="173"/>
      <c r="DS938" s="173"/>
      <c r="DT938" s="173"/>
      <c r="DU938" s="173"/>
      <c r="DV938" s="198"/>
    </row>
    <row r="939" spans="85:126" x14ac:dyDescent="0.2">
      <c r="CG939" s="176"/>
      <c r="CH939" s="197"/>
      <c r="CI939" s="180"/>
      <c r="CJ939" s="180"/>
      <c r="CK939" s="180"/>
      <c r="CL939" s="180"/>
      <c r="CM939" s="180"/>
      <c r="CN939" s="180"/>
      <c r="CO939" s="180"/>
      <c r="CP939" s="180"/>
      <c r="CQ939" s="180"/>
      <c r="CR939" s="180"/>
      <c r="CS939" s="180"/>
      <c r="CT939" s="180"/>
      <c r="CU939" s="180"/>
      <c r="CV939" s="173"/>
      <c r="CW939" s="173"/>
      <c r="CX939" s="173"/>
      <c r="CY939" s="173"/>
      <c r="CZ939" s="173"/>
      <c r="DA939" s="198"/>
      <c r="DC939" s="197"/>
      <c r="DD939" s="180"/>
      <c r="DE939" s="180"/>
      <c r="DF939" s="180"/>
      <c r="DG939" s="180"/>
      <c r="DH939" s="180"/>
      <c r="DI939" s="180"/>
      <c r="DJ939" s="180"/>
      <c r="DK939" s="180"/>
      <c r="DL939" s="180"/>
      <c r="DM939" s="180"/>
      <c r="DN939" s="180"/>
      <c r="DO939" s="180"/>
      <c r="DP939" s="180"/>
      <c r="DQ939" s="173"/>
      <c r="DR939" s="173"/>
      <c r="DS939" s="173"/>
      <c r="DT939" s="173"/>
      <c r="DU939" s="173"/>
      <c r="DV939" s="198"/>
    </row>
    <row r="940" spans="85:126" x14ac:dyDescent="0.2">
      <c r="CG940" s="176"/>
      <c r="CH940" s="199"/>
      <c r="CI940" s="200"/>
      <c r="CJ940" s="200"/>
      <c r="CK940" s="200"/>
      <c r="CL940" s="200"/>
      <c r="CM940" s="200"/>
      <c r="CN940" s="200"/>
      <c r="CO940" s="200"/>
      <c r="CP940" s="200"/>
      <c r="CQ940" s="201"/>
      <c r="CR940" s="202"/>
      <c r="CS940" s="200"/>
      <c r="CT940" s="200"/>
      <c r="CU940" s="200"/>
      <c r="CV940" s="203"/>
      <c r="CW940" s="203"/>
      <c r="CX940" s="203"/>
      <c r="CY940" s="203"/>
      <c r="CZ940" s="203"/>
      <c r="DA940" s="204"/>
      <c r="DC940" s="199"/>
      <c r="DD940" s="200"/>
      <c r="DE940" s="200"/>
      <c r="DF940" s="200"/>
      <c r="DG940" s="200"/>
      <c r="DH940" s="200"/>
      <c r="DI940" s="200"/>
      <c r="DJ940" s="200"/>
      <c r="DK940" s="200"/>
      <c r="DL940" s="200"/>
      <c r="DM940" s="200"/>
      <c r="DN940" s="200"/>
      <c r="DO940" s="200"/>
      <c r="DP940" s="200"/>
      <c r="DQ940" s="203"/>
      <c r="DR940" s="203"/>
      <c r="DS940" s="203"/>
      <c r="DT940" s="203"/>
      <c r="DU940" s="203"/>
      <c r="DV940" s="204"/>
    </row>
    <row r="941" spans="85:126" x14ac:dyDescent="0.2">
      <c r="CG941" s="176">
        <v>48</v>
      </c>
      <c r="CH941" s="192"/>
      <c r="CI941" s="193"/>
      <c r="CJ941" s="193"/>
      <c r="CK941" s="193"/>
      <c r="CL941" s="193"/>
      <c r="CM941" s="193"/>
      <c r="CN941" s="193"/>
      <c r="CO941" s="193"/>
      <c r="CP941" s="193"/>
      <c r="CQ941" s="193"/>
      <c r="CR941" s="193"/>
      <c r="CS941" s="193"/>
      <c r="CT941" s="193"/>
      <c r="CU941" s="193"/>
      <c r="CV941" s="194"/>
      <c r="CW941" s="194"/>
      <c r="CX941" s="194"/>
      <c r="CY941" s="194"/>
      <c r="CZ941" s="194"/>
      <c r="DA941" s="195"/>
      <c r="DC941" s="192"/>
      <c r="DD941" s="193"/>
      <c r="DE941" s="193"/>
      <c r="DF941" s="193"/>
      <c r="DG941" s="193"/>
      <c r="DH941" s="193"/>
      <c r="DI941" s="193"/>
      <c r="DJ941" s="193"/>
      <c r="DK941" s="193"/>
      <c r="DL941" s="193"/>
      <c r="DM941" s="193"/>
      <c r="DN941" s="193"/>
      <c r="DO941" s="193"/>
      <c r="DP941" s="193"/>
      <c r="DQ941" s="194"/>
      <c r="DR941" s="194"/>
      <c r="DS941" s="194"/>
      <c r="DT941" s="194"/>
      <c r="DU941" s="194"/>
      <c r="DV941" s="195"/>
    </row>
    <row r="942" spans="85:126" x14ac:dyDescent="0.2">
      <c r="CG942" s="176"/>
      <c r="CH942" s="169"/>
      <c r="CI942" s="177"/>
      <c r="CJ942" s="177"/>
      <c r="CK942" s="177"/>
      <c r="CL942" s="177"/>
      <c r="CM942" s="177"/>
      <c r="CN942" s="177"/>
      <c r="CO942" s="177"/>
      <c r="CP942" s="177"/>
      <c r="CQ942" s="177"/>
      <c r="CR942" s="177"/>
      <c r="CS942" s="177"/>
      <c r="CT942" s="177"/>
      <c r="CU942" s="177"/>
      <c r="CV942" s="172"/>
      <c r="CW942" s="172"/>
      <c r="CX942" s="172"/>
      <c r="CY942" s="172"/>
      <c r="CZ942" s="172"/>
      <c r="DA942" s="196"/>
      <c r="DC942" s="169"/>
      <c r="DD942" s="177"/>
      <c r="DE942" s="177"/>
      <c r="DF942" s="177"/>
      <c r="DG942" s="177"/>
      <c r="DH942" s="177"/>
      <c r="DI942" s="177"/>
      <c r="DJ942" s="177"/>
      <c r="DK942" s="177"/>
      <c r="DL942" s="177"/>
      <c r="DM942" s="177"/>
      <c r="DN942" s="177"/>
      <c r="DO942" s="177"/>
      <c r="DP942" s="177"/>
      <c r="DQ942" s="172"/>
      <c r="DR942" s="172"/>
      <c r="DS942" s="172"/>
      <c r="DT942" s="172"/>
      <c r="DU942" s="172"/>
      <c r="DV942" s="196"/>
    </row>
    <row r="943" spans="85:126" x14ac:dyDescent="0.2">
      <c r="CG943" s="131"/>
      <c r="CH943" s="169"/>
      <c r="CI943" s="177"/>
      <c r="CJ943" s="177"/>
      <c r="CK943" s="177"/>
      <c r="CL943" s="177"/>
      <c r="CM943" s="177"/>
      <c r="CN943" s="177"/>
      <c r="CO943" s="177"/>
      <c r="CP943" s="177"/>
      <c r="CQ943" s="177"/>
      <c r="CR943" s="177"/>
      <c r="CS943" s="177"/>
      <c r="CT943" s="177"/>
      <c r="CU943" s="177"/>
      <c r="CV943" s="172"/>
      <c r="CW943" s="172"/>
      <c r="CX943" s="172"/>
      <c r="CY943" s="172"/>
      <c r="CZ943" s="172"/>
      <c r="DA943" s="196"/>
      <c r="DC943" s="169"/>
      <c r="DD943" s="177"/>
      <c r="DE943" s="177"/>
      <c r="DF943" s="177"/>
      <c r="DG943" s="177"/>
      <c r="DH943" s="177"/>
      <c r="DI943" s="177"/>
      <c r="DJ943" s="177"/>
      <c r="DK943" s="177"/>
      <c r="DL943" s="177"/>
      <c r="DM943" s="177"/>
      <c r="DN943" s="177"/>
      <c r="DO943" s="177"/>
      <c r="DP943" s="177"/>
      <c r="DQ943" s="172"/>
      <c r="DR943" s="172"/>
      <c r="DS943" s="172"/>
      <c r="DT943" s="172"/>
      <c r="DU943" s="172"/>
      <c r="DV943" s="196"/>
    </row>
    <row r="944" spans="85:126" x14ac:dyDescent="0.2">
      <c r="CG944" s="176"/>
      <c r="CH944" s="169"/>
      <c r="CI944" s="177"/>
      <c r="CJ944" s="177"/>
      <c r="CK944" s="177"/>
      <c r="CL944" s="177"/>
      <c r="CM944" s="177"/>
      <c r="CN944" s="177"/>
      <c r="CO944" s="177"/>
      <c r="CP944" s="177"/>
      <c r="CQ944" s="177"/>
      <c r="CR944" s="177"/>
      <c r="CS944" s="177"/>
      <c r="CT944" s="177"/>
      <c r="CU944" s="177"/>
      <c r="CV944" s="172"/>
      <c r="CW944" s="172"/>
      <c r="CX944" s="172"/>
      <c r="CY944" s="172"/>
      <c r="CZ944" s="172"/>
      <c r="DA944" s="196"/>
      <c r="DC944" s="169"/>
      <c r="DD944" s="177"/>
      <c r="DE944" s="177"/>
      <c r="DF944" s="177"/>
      <c r="DG944" s="177"/>
      <c r="DH944" s="177"/>
      <c r="DI944" s="177"/>
      <c r="DJ944" s="177"/>
      <c r="DK944" s="177"/>
      <c r="DL944" s="177"/>
      <c r="DM944" s="177"/>
      <c r="DN944" s="177"/>
      <c r="DO944" s="177"/>
      <c r="DP944" s="177"/>
      <c r="DQ944" s="172"/>
      <c r="DR944" s="172"/>
      <c r="DS944" s="172"/>
      <c r="DT944" s="172"/>
      <c r="DU944" s="172"/>
      <c r="DV944" s="196"/>
    </row>
    <row r="945" spans="85:126" x14ac:dyDescent="0.2">
      <c r="CG945" s="178"/>
      <c r="CH945" s="169"/>
      <c r="CI945" s="177"/>
      <c r="CJ945" s="177"/>
      <c r="CK945" s="177"/>
      <c r="CL945" s="177"/>
      <c r="CM945" s="177"/>
      <c r="CN945" s="177"/>
      <c r="CO945" s="177"/>
      <c r="CP945" s="177"/>
      <c r="CQ945" s="177"/>
      <c r="CR945" s="177"/>
      <c r="CS945" s="177"/>
      <c r="CT945" s="177"/>
      <c r="CU945" s="177"/>
      <c r="CV945" s="172"/>
      <c r="CW945" s="172"/>
      <c r="CX945" s="172"/>
      <c r="CY945" s="172"/>
      <c r="CZ945" s="172"/>
      <c r="DA945" s="196"/>
      <c r="DC945" s="169"/>
      <c r="DD945" s="177"/>
      <c r="DE945" s="177"/>
      <c r="DF945" s="177"/>
      <c r="DG945" s="177"/>
      <c r="DH945" s="177"/>
      <c r="DI945" s="177"/>
      <c r="DJ945" s="177"/>
      <c r="DK945" s="177"/>
      <c r="DL945" s="177"/>
      <c r="DM945" s="177"/>
      <c r="DN945" s="177"/>
      <c r="DO945" s="177"/>
      <c r="DP945" s="177"/>
      <c r="DQ945" s="172"/>
      <c r="DR945" s="172"/>
      <c r="DS945" s="172"/>
      <c r="DT945" s="172"/>
      <c r="DU945" s="172"/>
      <c r="DV945" s="196"/>
    </row>
    <row r="946" spans="85:126" x14ac:dyDescent="0.2">
      <c r="CG946" s="179"/>
      <c r="CH946" s="169"/>
      <c r="CI946" s="177"/>
      <c r="CJ946" s="177"/>
      <c r="CK946" s="177"/>
      <c r="CL946" s="177"/>
      <c r="CM946" s="177"/>
      <c r="CN946" s="177"/>
      <c r="CO946" s="177"/>
      <c r="CP946" s="177"/>
      <c r="CQ946" s="177"/>
      <c r="CR946" s="177"/>
      <c r="CS946" s="177"/>
      <c r="CT946" s="177"/>
      <c r="CU946" s="177"/>
      <c r="CV946" s="172"/>
      <c r="CW946" s="172"/>
      <c r="CX946" s="172"/>
      <c r="CY946" s="172"/>
      <c r="CZ946" s="172"/>
      <c r="DA946" s="196"/>
      <c r="DC946" s="169"/>
      <c r="DD946" s="177"/>
      <c r="DE946" s="177"/>
      <c r="DF946" s="177"/>
      <c r="DG946" s="177"/>
      <c r="DH946" s="177"/>
      <c r="DI946" s="177"/>
      <c r="DJ946" s="177"/>
      <c r="DK946" s="177"/>
      <c r="DL946" s="177"/>
      <c r="DM946" s="177"/>
      <c r="DN946" s="177"/>
      <c r="DO946" s="177"/>
      <c r="DP946" s="177"/>
      <c r="DQ946" s="172"/>
      <c r="DR946" s="172"/>
      <c r="DS946" s="172"/>
      <c r="DT946" s="172"/>
      <c r="DU946" s="172"/>
      <c r="DV946" s="196"/>
    </row>
    <row r="947" spans="85:126" x14ac:dyDescent="0.2">
      <c r="CG947" s="179"/>
      <c r="CH947" s="169"/>
      <c r="CI947" s="177"/>
      <c r="CJ947" s="177"/>
      <c r="CK947" s="177"/>
      <c r="CL947" s="177"/>
      <c r="CM947" s="177"/>
      <c r="CN947" s="177"/>
      <c r="CO947" s="177"/>
      <c r="CP947" s="177"/>
      <c r="CQ947" s="177"/>
      <c r="CR947" s="177"/>
      <c r="CS947" s="177"/>
      <c r="CT947" s="177"/>
      <c r="CU947" s="177"/>
      <c r="CV947" s="172"/>
      <c r="CW947" s="172"/>
      <c r="CX947" s="172"/>
      <c r="CY947" s="172"/>
      <c r="CZ947" s="172"/>
      <c r="DA947" s="196"/>
      <c r="DC947" s="169"/>
      <c r="DD947" s="177"/>
      <c r="DE947" s="177"/>
      <c r="DF947" s="177"/>
      <c r="DG947" s="177"/>
      <c r="DH947" s="177"/>
      <c r="DI947" s="177"/>
      <c r="DJ947" s="177"/>
      <c r="DK947" s="177"/>
      <c r="DL947" s="177"/>
      <c r="DM947" s="177"/>
      <c r="DN947" s="177"/>
      <c r="DO947" s="177"/>
      <c r="DP947" s="177"/>
      <c r="DQ947" s="172"/>
      <c r="DR947" s="172"/>
      <c r="DS947" s="172"/>
      <c r="DT947" s="172"/>
      <c r="DU947" s="172"/>
      <c r="DV947" s="196"/>
    </row>
    <row r="948" spans="85:126" x14ac:dyDescent="0.2">
      <c r="CG948" s="179"/>
      <c r="CH948" s="169"/>
      <c r="CI948" s="177"/>
      <c r="CJ948" s="177"/>
      <c r="CK948" s="177"/>
      <c r="CL948" s="177"/>
      <c r="CM948" s="177"/>
      <c r="CN948" s="177"/>
      <c r="CO948" s="177"/>
      <c r="CP948" s="177"/>
      <c r="CQ948" s="177"/>
      <c r="CR948" s="177"/>
      <c r="CS948" s="177"/>
      <c r="CT948" s="177"/>
      <c r="CU948" s="177"/>
      <c r="CV948" s="172"/>
      <c r="CW948" s="172"/>
      <c r="CX948" s="172"/>
      <c r="CY948" s="172"/>
      <c r="CZ948" s="172"/>
      <c r="DA948" s="196"/>
      <c r="DC948" s="169"/>
      <c r="DD948" s="177"/>
      <c r="DE948" s="177"/>
      <c r="DF948" s="177"/>
      <c r="DG948" s="177"/>
      <c r="DH948" s="177"/>
      <c r="DI948" s="177"/>
      <c r="DJ948" s="177"/>
      <c r="DK948" s="177"/>
      <c r="DL948" s="177"/>
      <c r="DM948" s="177"/>
      <c r="DN948" s="177"/>
      <c r="DO948" s="177"/>
      <c r="DP948" s="177"/>
      <c r="DQ948" s="172"/>
      <c r="DR948" s="172"/>
      <c r="DS948" s="172"/>
      <c r="DT948" s="172"/>
      <c r="DU948" s="172"/>
      <c r="DV948" s="196"/>
    </row>
    <row r="949" spans="85:126" x14ac:dyDescent="0.2">
      <c r="CG949" s="179"/>
      <c r="CH949" s="169"/>
      <c r="CI949" s="177"/>
      <c r="CJ949" s="177"/>
      <c r="CK949" s="177"/>
      <c r="CL949" s="177"/>
      <c r="CM949" s="177"/>
      <c r="CN949" s="177"/>
      <c r="CO949" s="177"/>
      <c r="CP949" s="177"/>
      <c r="CQ949" s="177"/>
      <c r="CR949" s="177"/>
      <c r="CS949" s="177"/>
      <c r="CT949" s="177"/>
      <c r="CU949" s="177"/>
      <c r="CV949" s="172"/>
      <c r="CW949" s="172"/>
      <c r="CX949" s="172"/>
      <c r="CY949" s="172"/>
      <c r="CZ949" s="172"/>
      <c r="DA949" s="196"/>
      <c r="DC949" s="169"/>
      <c r="DD949" s="177"/>
      <c r="DE949" s="177"/>
      <c r="DF949" s="177"/>
      <c r="DG949" s="177"/>
      <c r="DH949" s="177"/>
      <c r="DI949" s="177"/>
      <c r="DJ949" s="177"/>
      <c r="DK949" s="177"/>
      <c r="DL949" s="177"/>
      <c r="DM949" s="177"/>
      <c r="DN949" s="177"/>
      <c r="DO949" s="177"/>
      <c r="DP949" s="177"/>
      <c r="DQ949" s="172"/>
      <c r="DR949" s="172"/>
      <c r="DS949" s="172"/>
      <c r="DT949" s="172"/>
      <c r="DU949" s="172"/>
      <c r="DV949" s="196"/>
    </row>
    <row r="950" spans="85:126" x14ac:dyDescent="0.2">
      <c r="CG950" s="179"/>
      <c r="CH950" s="169"/>
      <c r="CI950" s="177"/>
      <c r="CJ950" s="177"/>
      <c r="CK950" s="177"/>
      <c r="CL950" s="177"/>
      <c r="CM950" s="177"/>
      <c r="CN950" s="177"/>
      <c r="CO950" s="177"/>
      <c r="CP950" s="177"/>
      <c r="CQ950" s="177"/>
      <c r="CR950" s="177"/>
      <c r="CS950" s="177"/>
      <c r="CT950" s="177"/>
      <c r="CU950" s="177"/>
      <c r="CV950" s="172"/>
      <c r="CW950" s="172"/>
      <c r="CX950" s="172"/>
      <c r="CY950" s="172"/>
      <c r="CZ950" s="172"/>
      <c r="DA950" s="196"/>
      <c r="DC950" s="169"/>
      <c r="DD950" s="177"/>
      <c r="DE950" s="177"/>
      <c r="DF950" s="177"/>
      <c r="DG950" s="177"/>
      <c r="DH950" s="177"/>
      <c r="DI950" s="177"/>
      <c r="DJ950" s="177"/>
      <c r="DK950" s="177"/>
      <c r="DL950" s="177"/>
      <c r="DM950" s="177"/>
      <c r="DN950" s="177"/>
      <c r="DO950" s="177"/>
      <c r="DP950" s="177"/>
      <c r="DQ950" s="172"/>
      <c r="DR950" s="172"/>
      <c r="DS950" s="172"/>
      <c r="DT950" s="172"/>
      <c r="DU950" s="172"/>
      <c r="DV950" s="196"/>
    </row>
    <row r="951" spans="85:126" x14ac:dyDescent="0.2">
      <c r="CG951" s="179"/>
      <c r="CH951" s="169"/>
      <c r="CI951" s="177"/>
      <c r="CJ951" s="177"/>
      <c r="CK951" s="177"/>
      <c r="CL951" s="177"/>
      <c r="CM951" s="177"/>
      <c r="CN951" s="177"/>
      <c r="CO951" s="177"/>
      <c r="CP951" s="177"/>
      <c r="CQ951" s="177"/>
      <c r="CR951" s="177"/>
      <c r="CS951" s="177"/>
      <c r="CT951" s="177"/>
      <c r="CU951" s="177"/>
      <c r="CV951" s="172"/>
      <c r="CW951" s="172"/>
      <c r="CX951" s="172"/>
      <c r="CY951" s="172"/>
      <c r="CZ951" s="172"/>
      <c r="DA951" s="196"/>
      <c r="DC951" s="169"/>
      <c r="DD951" s="177"/>
      <c r="DE951" s="177"/>
      <c r="DF951" s="177"/>
      <c r="DG951" s="177"/>
      <c r="DH951" s="177"/>
      <c r="DI951" s="177"/>
      <c r="DJ951" s="177"/>
      <c r="DK951" s="177"/>
      <c r="DL951" s="177"/>
      <c r="DM951" s="177"/>
      <c r="DN951" s="177"/>
      <c r="DO951" s="177"/>
      <c r="DP951" s="177"/>
      <c r="DQ951" s="172"/>
      <c r="DR951" s="172"/>
      <c r="DS951" s="172"/>
      <c r="DT951" s="172"/>
      <c r="DU951" s="172"/>
      <c r="DV951" s="196"/>
    </row>
    <row r="952" spans="85:126" x14ac:dyDescent="0.2">
      <c r="CG952" s="179"/>
      <c r="CH952" s="169"/>
      <c r="CI952" s="177"/>
      <c r="CJ952" s="177"/>
      <c r="CK952" s="177"/>
      <c r="CL952" s="177"/>
      <c r="CM952" s="177"/>
      <c r="CN952" s="177"/>
      <c r="CO952" s="177"/>
      <c r="CP952" s="177"/>
      <c r="CQ952" s="177"/>
      <c r="CR952" s="177"/>
      <c r="CS952" s="177"/>
      <c r="CT952" s="177"/>
      <c r="CU952" s="177"/>
      <c r="CV952" s="172"/>
      <c r="CW952" s="172"/>
      <c r="CX952" s="172"/>
      <c r="CY952" s="172"/>
      <c r="CZ952" s="172"/>
      <c r="DA952" s="196"/>
      <c r="DC952" s="169"/>
      <c r="DD952" s="177"/>
      <c r="DE952" s="177"/>
      <c r="DF952" s="177"/>
      <c r="DG952" s="177"/>
      <c r="DH952" s="177"/>
      <c r="DI952" s="177"/>
      <c r="DJ952" s="177"/>
      <c r="DK952" s="177"/>
      <c r="DL952" s="177"/>
      <c r="DM952" s="177"/>
      <c r="DN952" s="177"/>
      <c r="DO952" s="177"/>
      <c r="DP952" s="177"/>
      <c r="DQ952" s="172"/>
      <c r="DR952" s="172"/>
      <c r="DS952" s="172"/>
      <c r="DT952" s="172"/>
      <c r="DU952" s="172"/>
      <c r="DV952" s="196"/>
    </row>
    <row r="953" spans="85:126" x14ac:dyDescent="0.2">
      <c r="CG953" s="179"/>
      <c r="CH953" s="197"/>
      <c r="CI953" s="180"/>
      <c r="CJ953" s="180"/>
      <c r="CK953" s="180"/>
      <c r="CL953" s="180"/>
      <c r="CM953" s="180"/>
      <c r="CN953" s="180"/>
      <c r="CO953" s="180"/>
      <c r="CP953" s="180"/>
      <c r="CQ953" s="180"/>
      <c r="CR953" s="180"/>
      <c r="CS953" s="180"/>
      <c r="CT953" s="180"/>
      <c r="CU953" s="180"/>
      <c r="CV953" s="173"/>
      <c r="CW953" s="173"/>
      <c r="CX953" s="173"/>
      <c r="CY953" s="173"/>
      <c r="CZ953" s="173"/>
      <c r="DA953" s="198"/>
      <c r="DC953" s="197"/>
      <c r="DD953" s="180"/>
      <c r="DE953" s="180"/>
      <c r="DF953" s="180"/>
      <c r="DG953" s="180"/>
      <c r="DH953" s="180"/>
      <c r="DI953" s="180"/>
      <c r="DJ953" s="180"/>
      <c r="DK953" s="180"/>
      <c r="DL953" s="180"/>
      <c r="DM953" s="180"/>
      <c r="DN953" s="180"/>
      <c r="DO953" s="180"/>
      <c r="DP953" s="180"/>
      <c r="DQ953" s="173"/>
      <c r="DR953" s="173"/>
      <c r="DS953" s="173"/>
      <c r="DT953" s="173"/>
      <c r="DU953" s="173"/>
      <c r="DV953" s="198"/>
    </row>
    <row r="954" spans="85:126" x14ac:dyDescent="0.2">
      <c r="CG954" s="179"/>
      <c r="CH954" s="197"/>
      <c r="CI954" s="180"/>
      <c r="CJ954" s="180"/>
      <c r="CK954" s="180"/>
      <c r="CL954" s="180"/>
      <c r="CM954" s="180"/>
      <c r="CN954" s="180"/>
      <c r="CO954" s="180"/>
      <c r="CP954" s="180"/>
      <c r="CQ954" s="180"/>
      <c r="CR954" s="180"/>
      <c r="CS954" s="180"/>
      <c r="CT954" s="180"/>
      <c r="CU954" s="180"/>
      <c r="CV954" s="173"/>
      <c r="CW954" s="173"/>
      <c r="CX954" s="173"/>
      <c r="CY954" s="173"/>
      <c r="CZ954" s="173"/>
      <c r="DA954" s="198"/>
      <c r="DC954" s="197"/>
      <c r="DD954" s="180"/>
      <c r="DE954" s="180"/>
      <c r="DF954" s="180"/>
      <c r="DG954" s="180"/>
      <c r="DH954" s="180"/>
      <c r="DI954" s="180"/>
      <c r="DJ954" s="180"/>
      <c r="DK954" s="180"/>
      <c r="DL954" s="180"/>
      <c r="DM954" s="180"/>
      <c r="DN954" s="180"/>
      <c r="DO954" s="180"/>
      <c r="DP954" s="180"/>
      <c r="DQ954" s="173"/>
      <c r="DR954" s="173"/>
      <c r="DS954" s="173"/>
      <c r="DT954" s="173"/>
      <c r="DU954" s="173"/>
      <c r="DV954" s="198"/>
    </row>
    <row r="955" spans="85:126" x14ac:dyDescent="0.2">
      <c r="CG955" s="179"/>
      <c r="CH955" s="197"/>
      <c r="CI955" s="180"/>
      <c r="CJ955" s="180"/>
      <c r="CK955" s="180"/>
      <c r="CL955" s="180"/>
      <c r="CM955" s="180"/>
      <c r="CN955" s="180"/>
      <c r="CO955" s="180"/>
      <c r="CP955" s="180"/>
      <c r="CQ955" s="180"/>
      <c r="CR955" s="180"/>
      <c r="CS955" s="180"/>
      <c r="CT955" s="180"/>
      <c r="CU955" s="180"/>
      <c r="CV955" s="173"/>
      <c r="CW955" s="173"/>
      <c r="CX955" s="173"/>
      <c r="CY955" s="173"/>
      <c r="CZ955" s="173"/>
      <c r="DA955" s="198"/>
      <c r="DC955" s="197"/>
      <c r="DD955" s="180"/>
      <c r="DE955" s="180"/>
      <c r="DF955" s="180"/>
      <c r="DG955" s="180"/>
      <c r="DH955" s="180"/>
      <c r="DI955" s="180"/>
      <c r="DJ955" s="180"/>
      <c r="DK955" s="180"/>
      <c r="DL955" s="180"/>
      <c r="DM955" s="180"/>
      <c r="DN955" s="180"/>
      <c r="DO955" s="180"/>
      <c r="DP955" s="180"/>
      <c r="DQ955" s="173"/>
      <c r="DR955" s="173"/>
      <c r="DS955" s="173"/>
      <c r="DT955" s="173"/>
      <c r="DU955" s="173"/>
      <c r="DV955" s="198"/>
    </row>
    <row r="956" spans="85:126" x14ac:dyDescent="0.2">
      <c r="CG956" s="179"/>
      <c r="CH956" s="197"/>
      <c r="CI956" s="180"/>
      <c r="CJ956" s="180"/>
      <c r="CK956" s="180"/>
      <c r="CL956" s="180"/>
      <c r="CM956" s="180"/>
      <c r="CN956" s="180"/>
      <c r="CO956" s="180"/>
      <c r="CP956" s="180"/>
      <c r="CQ956" s="180"/>
      <c r="CR956" s="180"/>
      <c r="CS956" s="180"/>
      <c r="CT956" s="180"/>
      <c r="CU956" s="180"/>
      <c r="CV956" s="173"/>
      <c r="CW956" s="173"/>
      <c r="CX956" s="173"/>
      <c r="CY956" s="173"/>
      <c r="CZ956" s="173"/>
      <c r="DA956" s="198"/>
      <c r="DC956" s="197"/>
      <c r="DD956" s="180"/>
      <c r="DE956" s="180"/>
      <c r="DF956" s="180"/>
      <c r="DG956" s="180"/>
      <c r="DH956" s="180"/>
      <c r="DI956" s="180"/>
      <c r="DJ956" s="180"/>
      <c r="DK956" s="180"/>
      <c r="DL956" s="180"/>
      <c r="DM956" s="180"/>
      <c r="DN956" s="180"/>
      <c r="DO956" s="180"/>
      <c r="DP956" s="180"/>
      <c r="DQ956" s="173"/>
      <c r="DR956" s="173"/>
      <c r="DS956" s="173"/>
      <c r="DT956" s="173"/>
      <c r="DU956" s="173"/>
      <c r="DV956" s="198"/>
    </row>
    <row r="957" spans="85:126" x14ac:dyDescent="0.2">
      <c r="CG957" s="179"/>
      <c r="CH957" s="197"/>
      <c r="CI957" s="180"/>
      <c r="CJ957" s="180"/>
      <c r="CK957" s="180"/>
      <c r="CL957" s="180"/>
      <c r="CM957" s="180"/>
      <c r="CN957" s="180"/>
      <c r="CO957" s="180"/>
      <c r="CP957" s="180"/>
      <c r="CQ957" s="180"/>
      <c r="CR957" s="180"/>
      <c r="CS957" s="180"/>
      <c r="CT957" s="180"/>
      <c r="CU957" s="180"/>
      <c r="CV957" s="173"/>
      <c r="CW957" s="173"/>
      <c r="CX957" s="173"/>
      <c r="CY957" s="173"/>
      <c r="CZ957" s="173"/>
      <c r="DA957" s="198"/>
      <c r="DC957" s="197"/>
      <c r="DD957" s="180"/>
      <c r="DE957" s="180"/>
      <c r="DF957" s="180"/>
      <c r="DG957" s="180"/>
      <c r="DH957" s="180"/>
      <c r="DI957" s="180"/>
      <c r="DJ957" s="180"/>
      <c r="DK957" s="180"/>
      <c r="DL957" s="180"/>
      <c r="DM957" s="180"/>
      <c r="DN957" s="180"/>
      <c r="DO957" s="180"/>
      <c r="DP957" s="180"/>
      <c r="DQ957" s="173"/>
      <c r="DR957" s="173"/>
      <c r="DS957" s="173"/>
      <c r="DT957" s="173"/>
      <c r="DU957" s="173"/>
      <c r="DV957" s="198"/>
    </row>
    <row r="958" spans="85:126" x14ac:dyDescent="0.2">
      <c r="CG958" s="176"/>
      <c r="CH958" s="197"/>
      <c r="CI958" s="180"/>
      <c r="CJ958" s="180"/>
      <c r="CK958" s="180"/>
      <c r="CL958" s="180"/>
      <c r="CM958" s="180"/>
      <c r="CN958" s="180"/>
      <c r="CO958" s="180"/>
      <c r="CP958" s="180"/>
      <c r="CQ958" s="180"/>
      <c r="CR958" s="180"/>
      <c r="CS958" s="180"/>
      <c r="CT958" s="180"/>
      <c r="CU958" s="180"/>
      <c r="CV958" s="173"/>
      <c r="CW958" s="173"/>
      <c r="CX958" s="173"/>
      <c r="CY958" s="173"/>
      <c r="CZ958" s="173"/>
      <c r="DA958" s="198"/>
      <c r="DC958" s="197"/>
      <c r="DD958" s="180"/>
      <c r="DE958" s="180"/>
      <c r="DF958" s="180"/>
      <c r="DG958" s="180"/>
      <c r="DH958" s="180"/>
      <c r="DI958" s="180"/>
      <c r="DJ958" s="180"/>
      <c r="DK958" s="180"/>
      <c r="DL958" s="180"/>
      <c r="DM958" s="180"/>
      <c r="DN958" s="180"/>
      <c r="DO958" s="180"/>
      <c r="DP958" s="180"/>
      <c r="DQ958" s="173"/>
      <c r="DR958" s="173"/>
      <c r="DS958" s="173"/>
      <c r="DT958" s="173"/>
      <c r="DU958" s="173"/>
      <c r="DV958" s="198"/>
    </row>
    <row r="959" spans="85:126" x14ac:dyDescent="0.2">
      <c r="CG959" s="176"/>
      <c r="CH959" s="197"/>
      <c r="CI959" s="180"/>
      <c r="CJ959" s="180"/>
      <c r="CK959" s="180"/>
      <c r="CL959" s="180"/>
      <c r="CM959" s="180"/>
      <c r="CN959" s="180"/>
      <c r="CO959" s="180"/>
      <c r="CP959" s="180"/>
      <c r="CQ959" s="180"/>
      <c r="CR959" s="180"/>
      <c r="CS959" s="180"/>
      <c r="CT959" s="180"/>
      <c r="CU959" s="180"/>
      <c r="CV959" s="173"/>
      <c r="CW959" s="173"/>
      <c r="CX959" s="173"/>
      <c r="CY959" s="173"/>
      <c r="CZ959" s="173"/>
      <c r="DA959" s="198"/>
      <c r="DC959" s="197"/>
      <c r="DD959" s="180"/>
      <c r="DE959" s="180"/>
      <c r="DF959" s="180"/>
      <c r="DG959" s="180"/>
      <c r="DH959" s="180"/>
      <c r="DI959" s="180"/>
      <c r="DJ959" s="180"/>
      <c r="DK959" s="180"/>
      <c r="DL959" s="180"/>
      <c r="DM959" s="180"/>
      <c r="DN959" s="180"/>
      <c r="DO959" s="180"/>
      <c r="DP959" s="180"/>
      <c r="DQ959" s="173"/>
      <c r="DR959" s="173"/>
      <c r="DS959" s="173"/>
      <c r="DT959" s="173"/>
      <c r="DU959" s="173"/>
      <c r="DV959" s="198"/>
    </row>
    <row r="960" spans="85:126" x14ac:dyDescent="0.2">
      <c r="CG960" s="176"/>
      <c r="CH960" s="199"/>
      <c r="CI960" s="200"/>
      <c r="CJ960" s="200"/>
      <c r="CK960" s="200"/>
      <c r="CL960" s="200"/>
      <c r="CM960" s="200"/>
      <c r="CN960" s="200"/>
      <c r="CO960" s="200"/>
      <c r="CP960" s="200"/>
      <c r="CQ960" s="201"/>
      <c r="CR960" s="202"/>
      <c r="CS960" s="200"/>
      <c r="CT960" s="200"/>
      <c r="CU960" s="200"/>
      <c r="CV960" s="203"/>
      <c r="CW960" s="203"/>
      <c r="CX960" s="203"/>
      <c r="CY960" s="203"/>
      <c r="CZ960" s="203"/>
      <c r="DA960" s="204"/>
      <c r="DC960" s="199"/>
      <c r="DD960" s="200"/>
      <c r="DE960" s="200"/>
      <c r="DF960" s="200"/>
      <c r="DG960" s="200"/>
      <c r="DH960" s="200"/>
      <c r="DI960" s="200"/>
      <c r="DJ960" s="200"/>
      <c r="DK960" s="200"/>
      <c r="DL960" s="200"/>
      <c r="DM960" s="200"/>
      <c r="DN960" s="200"/>
      <c r="DO960" s="200"/>
      <c r="DP960" s="200"/>
      <c r="DQ960" s="203"/>
      <c r="DR960" s="203"/>
      <c r="DS960" s="203"/>
      <c r="DT960" s="203"/>
      <c r="DU960" s="203"/>
      <c r="DV960" s="204"/>
    </row>
    <row r="961" spans="85:126" x14ac:dyDescent="0.2">
      <c r="CG961" s="176">
        <v>49</v>
      </c>
      <c r="CH961" s="192"/>
      <c r="CI961" s="193"/>
      <c r="CJ961" s="193"/>
      <c r="CK961" s="193"/>
      <c r="CL961" s="193"/>
      <c r="CM961" s="193"/>
      <c r="CN961" s="193"/>
      <c r="CO961" s="193"/>
      <c r="CP961" s="193"/>
      <c r="CQ961" s="193"/>
      <c r="CR961" s="193"/>
      <c r="CS961" s="193"/>
      <c r="CT961" s="193"/>
      <c r="CU961" s="193"/>
      <c r="CV961" s="194"/>
      <c r="CW961" s="194"/>
      <c r="CX961" s="194"/>
      <c r="CY961" s="194"/>
      <c r="CZ961" s="194"/>
      <c r="DA961" s="195"/>
      <c r="DC961" s="192"/>
      <c r="DD961" s="193"/>
      <c r="DE961" s="193"/>
      <c r="DF961" s="193"/>
      <c r="DG961" s="193"/>
      <c r="DH961" s="193"/>
      <c r="DI961" s="193"/>
      <c r="DJ961" s="193"/>
      <c r="DK961" s="193"/>
      <c r="DL961" s="193"/>
      <c r="DM961" s="193"/>
      <c r="DN961" s="193"/>
      <c r="DO961" s="193"/>
      <c r="DP961" s="193"/>
      <c r="DQ961" s="194"/>
      <c r="DR961" s="194"/>
      <c r="DS961" s="194"/>
      <c r="DT961" s="194"/>
      <c r="DU961" s="194"/>
      <c r="DV961" s="195"/>
    </row>
    <row r="962" spans="85:126" x14ac:dyDescent="0.2">
      <c r="CG962" s="176"/>
      <c r="CH962" s="169"/>
      <c r="CI962" s="177"/>
      <c r="CJ962" s="177"/>
      <c r="CK962" s="177"/>
      <c r="CL962" s="177"/>
      <c r="CM962" s="177"/>
      <c r="CN962" s="177"/>
      <c r="CO962" s="177"/>
      <c r="CP962" s="177"/>
      <c r="CQ962" s="177"/>
      <c r="CR962" s="177"/>
      <c r="CS962" s="177"/>
      <c r="CT962" s="177"/>
      <c r="CU962" s="177"/>
      <c r="CV962" s="172"/>
      <c r="CW962" s="172"/>
      <c r="CX962" s="172"/>
      <c r="CY962" s="172"/>
      <c r="CZ962" s="172"/>
      <c r="DA962" s="196"/>
      <c r="DC962" s="169"/>
      <c r="DD962" s="177"/>
      <c r="DE962" s="177"/>
      <c r="DF962" s="177"/>
      <c r="DG962" s="177"/>
      <c r="DH962" s="177"/>
      <c r="DI962" s="177"/>
      <c r="DJ962" s="177"/>
      <c r="DK962" s="177"/>
      <c r="DL962" s="177"/>
      <c r="DM962" s="177"/>
      <c r="DN962" s="177"/>
      <c r="DO962" s="177"/>
      <c r="DP962" s="177"/>
      <c r="DQ962" s="172"/>
      <c r="DR962" s="172"/>
      <c r="DS962" s="172"/>
      <c r="DT962" s="172"/>
      <c r="DU962" s="172"/>
      <c r="DV962" s="196"/>
    </row>
    <row r="963" spans="85:126" x14ac:dyDescent="0.2">
      <c r="CG963" s="131"/>
      <c r="CH963" s="169"/>
      <c r="CI963" s="177"/>
      <c r="CJ963" s="177"/>
      <c r="CK963" s="177"/>
      <c r="CL963" s="177"/>
      <c r="CM963" s="177"/>
      <c r="CN963" s="177"/>
      <c r="CO963" s="177"/>
      <c r="CP963" s="177"/>
      <c r="CQ963" s="177"/>
      <c r="CR963" s="177"/>
      <c r="CS963" s="177"/>
      <c r="CT963" s="177"/>
      <c r="CU963" s="177"/>
      <c r="CV963" s="172"/>
      <c r="CW963" s="172"/>
      <c r="CX963" s="172"/>
      <c r="CY963" s="172"/>
      <c r="CZ963" s="172"/>
      <c r="DA963" s="196"/>
      <c r="DC963" s="169"/>
      <c r="DD963" s="177"/>
      <c r="DE963" s="177"/>
      <c r="DF963" s="177"/>
      <c r="DG963" s="177"/>
      <c r="DH963" s="177"/>
      <c r="DI963" s="177"/>
      <c r="DJ963" s="177"/>
      <c r="DK963" s="177"/>
      <c r="DL963" s="177"/>
      <c r="DM963" s="177"/>
      <c r="DN963" s="177"/>
      <c r="DO963" s="177"/>
      <c r="DP963" s="177"/>
      <c r="DQ963" s="172"/>
      <c r="DR963" s="172"/>
      <c r="DS963" s="172"/>
      <c r="DT963" s="172"/>
      <c r="DU963" s="172"/>
      <c r="DV963" s="196"/>
    </row>
    <row r="964" spans="85:126" x14ac:dyDescent="0.2">
      <c r="CG964" s="176"/>
      <c r="CH964" s="169"/>
      <c r="CI964" s="177"/>
      <c r="CJ964" s="177"/>
      <c r="CK964" s="177"/>
      <c r="CL964" s="177"/>
      <c r="CM964" s="177"/>
      <c r="CN964" s="177"/>
      <c r="CO964" s="177"/>
      <c r="CP964" s="177"/>
      <c r="CQ964" s="177"/>
      <c r="CR964" s="177"/>
      <c r="CS964" s="177"/>
      <c r="CT964" s="177"/>
      <c r="CU964" s="177"/>
      <c r="CV964" s="172"/>
      <c r="CW964" s="172"/>
      <c r="CX964" s="172"/>
      <c r="CY964" s="172"/>
      <c r="CZ964" s="172"/>
      <c r="DA964" s="196"/>
      <c r="DC964" s="169"/>
      <c r="DD964" s="177"/>
      <c r="DE964" s="177"/>
      <c r="DF964" s="177"/>
      <c r="DG964" s="177"/>
      <c r="DH964" s="177"/>
      <c r="DI964" s="177"/>
      <c r="DJ964" s="177"/>
      <c r="DK964" s="177"/>
      <c r="DL964" s="177"/>
      <c r="DM964" s="177"/>
      <c r="DN964" s="177"/>
      <c r="DO964" s="177"/>
      <c r="DP964" s="177"/>
      <c r="DQ964" s="172"/>
      <c r="DR964" s="172"/>
      <c r="DS964" s="172"/>
      <c r="DT964" s="172"/>
      <c r="DU964" s="172"/>
      <c r="DV964" s="196"/>
    </row>
    <row r="965" spans="85:126" x14ac:dyDescent="0.2">
      <c r="CG965" s="178"/>
      <c r="CH965" s="169"/>
      <c r="CI965" s="177"/>
      <c r="CJ965" s="177"/>
      <c r="CK965" s="177"/>
      <c r="CL965" s="177"/>
      <c r="CM965" s="177"/>
      <c r="CN965" s="177"/>
      <c r="CO965" s="177"/>
      <c r="CP965" s="177"/>
      <c r="CQ965" s="177"/>
      <c r="CR965" s="177"/>
      <c r="CS965" s="177"/>
      <c r="CT965" s="177"/>
      <c r="CU965" s="177"/>
      <c r="CV965" s="172"/>
      <c r="CW965" s="172"/>
      <c r="CX965" s="172"/>
      <c r="CY965" s="172"/>
      <c r="CZ965" s="172"/>
      <c r="DA965" s="196"/>
      <c r="DC965" s="169"/>
      <c r="DD965" s="177"/>
      <c r="DE965" s="177"/>
      <c r="DF965" s="177"/>
      <c r="DG965" s="177"/>
      <c r="DH965" s="177"/>
      <c r="DI965" s="177"/>
      <c r="DJ965" s="177"/>
      <c r="DK965" s="177"/>
      <c r="DL965" s="177"/>
      <c r="DM965" s="177"/>
      <c r="DN965" s="177"/>
      <c r="DO965" s="177"/>
      <c r="DP965" s="177"/>
      <c r="DQ965" s="172"/>
      <c r="DR965" s="172"/>
      <c r="DS965" s="172"/>
      <c r="DT965" s="172"/>
      <c r="DU965" s="172"/>
      <c r="DV965" s="196"/>
    </row>
    <row r="966" spans="85:126" x14ac:dyDescent="0.2">
      <c r="CG966" s="179"/>
      <c r="CH966" s="169"/>
      <c r="CI966" s="177"/>
      <c r="CJ966" s="177"/>
      <c r="CK966" s="177"/>
      <c r="CL966" s="177"/>
      <c r="CM966" s="177"/>
      <c r="CN966" s="177"/>
      <c r="CO966" s="177"/>
      <c r="CP966" s="177"/>
      <c r="CQ966" s="177"/>
      <c r="CR966" s="177"/>
      <c r="CS966" s="177"/>
      <c r="CT966" s="177"/>
      <c r="CU966" s="177"/>
      <c r="CV966" s="172"/>
      <c r="CW966" s="172"/>
      <c r="CX966" s="172"/>
      <c r="CY966" s="172"/>
      <c r="CZ966" s="172"/>
      <c r="DA966" s="196"/>
      <c r="DC966" s="169"/>
      <c r="DD966" s="177"/>
      <c r="DE966" s="177"/>
      <c r="DF966" s="177"/>
      <c r="DG966" s="177"/>
      <c r="DH966" s="177"/>
      <c r="DI966" s="177"/>
      <c r="DJ966" s="177"/>
      <c r="DK966" s="177"/>
      <c r="DL966" s="177"/>
      <c r="DM966" s="177"/>
      <c r="DN966" s="177"/>
      <c r="DO966" s="177"/>
      <c r="DP966" s="177"/>
      <c r="DQ966" s="172"/>
      <c r="DR966" s="172"/>
      <c r="DS966" s="172"/>
      <c r="DT966" s="172"/>
      <c r="DU966" s="172"/>
      <c r="DV966" s="196"/>
    </row>
    <row r="967" spans="85:126" x14ac:dyDescent="0.2">
      <c r="CG967" s="179"/>
      <c r="CH967" s="169"/>
      <c r="CI967" s="177"/>
      <c r="CJ967" s="177"/>
      <c r="CK967" s="177"/>
      <c r="CL967" s="177"/>
      <c r="CM967" s="177"/>
      <c r="CN967" s="177"/>
      <c r="CO967" s="177"/>
      <c r="CP967" s="177"/>
      <c r="CQ967" s="177"/>
      <c r="CR967" s="177"/>
      <c r="CS967" s="177"/>
      <c r="CT967" s="177"/>
      <c r="CU967" s="177"/>
      <c r="CV967" s="172"/>
      <c r="CW967" s="172"/>
      <c r="CX967" s="172"/>
      <c r="CY967" s="172"/>
      <c r="CZ967" s="172"/>
      <c r="DA967" s="196"/>
      <c r="DC967" s="169"/>
      <c r="DD967" s="177"/>
      <c r="DE967" s="177"/>
      <c r="DF967" s="177"/>
      <c r="DG967" s="177"/>
      <c r="DH967" s="177"/>
      <c r="DI967" s="177"/>
      <c r="DJ967" s="177"/>
      <c r="DK967" s="177"/>
      <c r="DL967" s="177"/>
      <c r="DM967" s="177"/>
      <c r="DN967" s="177"/>
      <c r="DO967" s="177"/>
      <c r="DP967" s="177"/>
      <c r="DQ967" s="172"/>
      <c r="DR967" s="172"/>
      <c r="DS967" s="172"/>
      <c r="DT967" s="172"/>
      <c r="DU967" s="172"/>
      <c r="DV967" s="196"/>
    </row>
    <row r="968" spans="85:126" x14ac:dyDescent="0.2">
      <c r="CG968" s="179"/>
      <c r="CH968" s="169"/>
      <c r="CI968" s="177"/>
      <c r="CJ968" s="177"/>
      <c r="CK968" s="177"/>
      <c r="CL968" s="177"/>
      <c r="CM968" s="177"/>
      <c r="CN968" s="177"/>
      <c r="CO968" s="177"/>
      <c r="CP968" s="177"/>
      <c r="CQ968" s="177"/>
      <c r="CR968" s="177"/>
      <c r="CS968" s="177"/>
      <c r="CT968" s="177"/>
      <c r="CU968" s="177"/>
      <c r="CV968" s="172"/>
      <c r="CW968" s="172"/>
      <c r="CX968" s="172"/>
      <c r="CY968" s="172"/>
      <c r="CZ968" s="172"/>
      <c r="DA968" s="196"/>
      <c r="DC968" s="169"/>
      <c r="DD968" s="177"/>
      <c r="DE968" s="177"/>
      <c r="DF968" s="177"/>
      <c r="DG968" s="177"/>
      <c r="DH968" s="177"/>
      <c r="DI968" s="177"/>
      <c r="DJ968" s="177"/>
      <c r="DK968" s="177"/>
      <c r="DL968" s="177"/>
      <c r="DM968" s="177"/>
      <c r="DN968" s="177"/>
      <c r="DO968" s="177"/>
      <c r="DP968" s="177"/>
      <c r="DQ968" s="172"/>
      <c r="DR968" s="172"/>
      <c r="DS968" s="172"/>
      <c r="DT968" s="172"/>
      <c r="DU968" s="172"/>
      <c r="DV968" s="196"/>
    </row>
    <row r="969" spans="85:126" x14ac:dyDescent="0.2">
      <c r="CG969" s="179"/>
      <c r="CH969" s="169"/>
      <c r="CI969" s="177"/>
      <c r="CJ969" s="177"/>
      <c r="CK969" s="177"/>
      <c r="CL969" s="177"/>
      <c r="CM969" s="177"/>
      <c r="CN969" s="177"/>
      <c r="CO969" s="177"/>
      <c r="CP969" s="177"/>
      <c r="CQ969" s="177"/>
      <c r="CR969" s="177"/>
      <c r="CS969" s="177"/>
      <c r="CT969" s="177"/>
      <c r="CU969" s="177"/>
      <c r="CV969" s="172"/>
      <c r="CW969" s="172"/>
      <c r="CX969" s="172"/>
      <c r="CY969" s="172"/>
      <c r="CZ969" s="172"/>
      <c r="DA969" s="196"/>
      <c r="DC969" s="169"/>
      <c r="DD969" s="177"/>
      <c r="DE969" s="177"/>
      <c r="DF969" s="177"/>
      <c r="DG969" s="177"/>
      <c r="DH969" s="177"/>
      <c r="DI969" s="177"/>
      <c r="DJ969" s="177"/>
      <c r="DK969" s="177"/>
      <c r="DL969" s="177"/>
      <c r="DM969" s="177"/>
      <c r="DN969" s="177"/>
      <c r="DO969" s="177"/>
      <c r="DP969" s="177"/>
      <c r="DQ969" s="172"/>
      <c r="DR969" s="172"/>
      <c r="DS969" s="172"/>
      <c r="DT969" s="172"/>
      <c r="DU969" s="172"/>
      <c r="DV969" s="196"/>
    </row>
    <row r="970" spans="85:126" x14ac:dyDescent="0.2">
      <c r="CG970" s="179"/>
      <c r="CH970" s="169"/>
      <c r="CI970" s="177"/>
      <c r="CJ970" s="177"/>
      <c r="CK970" s="177"/>
      <c r="CL970" s="177"/>
      <c r="CM970" s="177"/>
      <c r="CN970" s="177"/>
      <c r="CO970" s="177"/>
      <c r="CP970" s="177"/>
      <c r="CQ970" s="177"/>
      <c r="CR970" s="177"/>
      <c r="CS970" s="177"/>
      <c r="CT970" s="177"/>
      <c r="CU970" s="177"/>
      <c r="CV970" s="172"/>
      <c r="CW970" s="172"/>
      <c r="CX970" s="172"/>
      <c r="CY970" s="172"/>
      <c r="CZ970" s="172"/>
      <c r="DA970" s="196"/>
      <c r="DC970" s="169"/>
      <c r="DD970" s="177"/>
      <c r="DE970" s="177"/>
      <c r="DF970" s="177"/>
      <c r="DG970" s="177"/>
      <c r="DH970" s="177"/>
      <c r="DI970" s="177"/>
      <c r="DJ970" s="177"/>
      <c r="DK970" s="177"/>
      <c r="DL970" s="177"/>
      <c r="DM970" s="177"/>
      <c r="DN970" s="177"/>
      <c r="DO970" s="177"/>
      <c r="DP970" s="177"/>
      <c r="DQ970" s="172"/>
      <c r="DR970" s="172"/>
      <c r="DS970" s="172"/>
      <c r="DT970" s="172"/>
      <c r="DU970" s="172"/>
      <c r="DV970" s="196"/>
    </row>
    <row r="971" spans="85:126" x14ac:dyDescent="0.2">
      <c r="CG971" s="179"/>
      <c r="CH971" s="169"/>
      <c r="CI971" s="177"/>
      <c r="CJ971" s="177"/>
      <c r="CK971" s="177"/>
      <c r="CL971" s="177"/>
      <c r="CM971" s="177"/>
      <c r="CN971" s="177"/>
      <c r="CO971" s="177"/>
      <c r="CP971" s="177"/>
      <c r="CQ971" s="177"/>
      <c r="CR971" s="177"/>
      <c r="CS971" s="177"/>
      <c r="CT971" s="177"/>
      <c r="CU971" s="177"/>
      <c r="CV971" s="172"/>
      <c r="CW971" s="172"/>
      <c r="CX971" s="172"/>
      <c r="CY971" s="172"/>
      <c r="CZ971" s="172"/>
      <c r="DA971" s="196"/>
      <c r="DC971" s="169"/>
      <c r="DD971" s="177"/>
      <c r="DE971" s="177"/>
      <c r="DF971" s="177"/>
      <c r="DG971" s="177"/>
      <c r="DH971" s="177"/>
      <c r="DI971" s="177"/>
      <c r="DJ971" s="177"/>
      <c r="DK971" s="177"/>
      <c r="DL971" s="177"/>
      <c r="DM971" s="177"/>
      <c r="DN971" s="177"/>
      <c r="DO971" s="177"/>
      <c r="DP971" s="177"/>
      <c r="DQ971" s="172"/>
      <c r="DR971" s="172"/>
      <c r="DS971" s="172"/>
      <c r="DT971" s="172"/>
      <c r="DU971" s="172"/>
      <c r="DV971" s="196"/>
    </row>
    <row r="972" spans="85:126" x14ac:dyDescent="0.2">
      <c r="CG972" s="179"/>
      <c r="CH972" s="169"/>
      <c r="CI972" s="177"/>
      <c r="CJ972" s="177"/>
      <c r="CK972" s="177"/>
      <c r="CL972" s="177"/>
      <c r="CM972" s="177"/>
      <c r="CN972" s="177"/>
      <c r="CO972" s="177"/>
      <c r="CP972" s="177"/>
      <c r="CQ972" s="177"/>
      <c r="CR972" s="177"/>
      <c r="CS972" s="177"/>
      <c r="CT972" s="177"/>
      <c r="CU972" s="177"/>
      <c r="CV972" s="172"/>
      <c r="CW972" s="172"/>
      <c r="CX972" s="172"/>
      <c r="CY972" s="172"/>
      <c r="CZ972" s="172"/>
      <c r="DA972" s="196"/>
      <c r="DC972" s="169"/>
      <c r="DD972" s="177"/>
      <c r="DE972" s="177"/>
      <c r="DF972" s="177"/>
      <c r="DG972" s="177"/>
      <c r="DH972" s="177"/>
      <c r="DI972" s="177"/>
      <c r="DJ972" s="177"/>
      <c r="DK972" s="177"/>
      <c r="DL972" s="177"/>
      <c r="DM972" s="177"/>
      <c r="DN972" s="177"/>
      <c r="DO972" s="177"/>
      <c r="DP972" s="177"/>
      <c r="DQ972" s="172"/>
      <c r="DR972" s="172"/>
      <c r="DS972" s="172"/>
      <c r="DT972" s="172"/>
      <c r="DU972" s="172"/>
      <c r="DV972" s="196"/>
    </row>
    <row r="973" spans="85:126" x14ac:dyDescent="0.2">
      <c r="CG973" s="179"/>
      <c r="CH973" s="197"/>
      <c r="CI973" s="180"/>
      <c r="CJ973" s="180"/>
      <c r="CK973" s="180"/>
      <c r="CL973" s="180"/>
      <c r="CM973" s="180"/>
      <c r="CN973" s="180"/>
      <c r="CO973" s="180"/>
      <c r="CP973" s="180"/>
      <c r="CQ973" s="180"/>
      <c r="CR973" s="180"/>
      <c r="CS973" s="180"/>
      <c r="CT973" s="180"/>
      <c r="CU973" s="180"/>
      <c r="CV973" s="173"/>
      <c r="CW973" s="173"/>
      <c r="CX973" s="173"/>
      <c r="CY973" s="173"/>
      <c r="CZ973" s="173"/>
      <c r="DA973" s="198"/>
      <c r="DC973" s="197"/>
      <c r="DD973" s="180"/>
      <c r="DE973" s="180"/>
      <c r="DF973" s="180"/>
      <c r="DG973" s="180"/>
      <c r="DH973" s="180"/>
      <c r="DI973" s="180"/>
      <c r="DJ973" s="180"/>
      <c r="DK973" s="180"/>
      <c r="DL973" s="180"/>
      <c r="DM973" s="180"/>
      <c r="DN973" s="180"/>
      <c r="DO973" s="180"/>
      <c r="DP973" s="180"/>
      <c r="DQ973" s="173"/>
      <c r="DR973" s="173"/>
      <c r="DS973" s="173"/>
      <c r="DT973" s="173"/>
      <c r="DU973" s="173"/>
      <c r="DV973" s="198"/>
    </row>
    <row r="974" spans="85:126" x14ac:dyDescent="0.2">
      <c r="CG974" s="179"/>
      <c r="CH974" s="197"/>
      <c r="CI974" s="180"/>
      <c r="CJ974" s="180"/>
      <c r="CK974" s="180"/>
      <c r="CL974" s="180"/>
      <c r="CM974" s="180"/>
      <c r="CN974" s="180"/>
      <c r="CO974" s="180"/>
      <c r="CP974" s="180"/>
      <c r="CQ974" s="180"/>
      <c r="CR974" s="180"/>
      <c r="CS974" s="180"/>
      <c r="CT974" s="180"/>
      <c r="CU974" s="180"/>
      <c r="CV974" s="173"/>
      <c r="CW974" s="173"/>
      <c r="CX974" s="173"/>
      <c r="CY974" s="173"/>
      <c r="CZ974" s="173"/>
      <c r="DA974" s="198"/>
      <c r="DC974" s="197"/>
      <c r="DD974" s="180"/>
      <c r="DE974" s="180"/>
      <c r="DF974" s="180"/>
      <c r="DG974" s="180"/>
      <c r="DH974" s="180"/>
      <c r="DI974" s="180"/>
      <c r="DJ974" s="180"/>
      <c r="DK974" s="180"/>
      <c r="DL974" s="180"/>
      <c r="DM974" s="180"/>
      <c r="DN974" s="180"/>
      <c r="DO974" s="180"/>
      <c r="DP974" s="180"/>
      <c r="DQ974" s="173"/>
      <c r="DR974" s="173"/>
      <c r="DS974" s="173"/>
      <c r="DT974" s="173"/>
      <c r="DU974" s="173"/>
      <c r="DV974" s="198"/>
    </row>
    <row r="975" spans="85:126" x14ac:dyDescent="0.2">
      <c r="CG975" s="179"/>
      <c r="CH975" s="197"/>
      <c r="CI975" s="180"/>
      <c r="CJ975" s="180"/>
      <c r="CK975" s="180"/>
      <c r="CL975" s="180"/>
      <c r="CM975" s="180"/>
      <c r="CN975" s="180"/>
      <c r="CO975" s="180"/>
      <c r="CP975" s="180"/>
      <c r="CQ975" s="180"/>
      <c r="CR975" s="180"/>
      <c r="CS975" s="180"/>
      <c r="CT975" s="180"/>
      <c r="CU975" s="180"/>
      <c r="CV975" s="173"/>
      <c r="CW975" s="173"/>
      <c r="CX975" s="173"/>
      <c r="CY975" s="173"/>
      <c r="CZ975" s="173"/>
      <c r="DA975" s="198"/>
      <c r="DC975" s="197"/>
      <c r="DD975" s="180"/>
      <c r="DE975" s="180"/>
      <c r="DF975" s="180"/>
      <c r="DG975" s="180"/>
      <c r="DH975" s="180"/>
      <c r="DI975" s="180"/>
      <c r="DJ975" s="180"/>
      <c r="DK975" s="180"/>
      <c r="DL975" s="180"/>
      <c r="DM975" s="180"/>
      <c r="DN975" s="180"/>
      <c r="DO975" s="180"/>
      <c r="DP975" s="180"/>
      <c r="DQ975" s="173"/>
      <c r="DR975" s="173"/>
      <c r="DS975" s="173"/>
      <c r="DT975" s="173"/>
      <c r="DU975" s="173"/>
      <c r="DV975" s="198"/>
    </row>
    <row r="976" spans="85:126" x14ac:dyDescent="0.2">
      <c r="CG976" s="179"/>
      <c r="CH976" s="197"/>
      <c r="CI976" s="180"/>
      <c r="CJ976" s="180"/>
      <c r="CK976" s="180"/>
      <c r="CL976" s="180"/>
      <c r="CM976" s="180"/>
      <c r="CN976" s="180"/>
      <c r="CO976" s="180"/>
      <c r="CP976" s="180"/>
      <c r="CQ976" s="180"/>
      <c r="CR976" s="180"/>
      <c r="CS976" s="180"/>
      <c r="CT976" s="180"/>
      <c r="CU976" s="180"/>
      <c r="CV976" s="173"/>
      <c r="CW976" s="173"/>
      <c r="CX976" s="173"/>
      <c r="CY976" s="173"/>
      <c r="CZ976" s="173"/>
      <c r="DA976" s="198"/>
      <c r="DC976" s="197"/>
      <c r="DD976" s="180"/>
      <c r="DE976" s="180"/>
      <c r="DF976" s="180"/>
      <c r="DG976" s="180"/>
      <c r="DH976" s="180"/>
      <c r="DI976" s="180"/>
      <c r="DJ976" s="180"/>
      <c r="DK976" s="180"/>
      <c r="DL976" s="180"/>
      <c r="DM976" s="180"/>
      <c r="DN976" s="180"/>
      <c r="DO976" s="180"/>
      <c r="DP976" s="180"/>
      <c r="DQ976" s="173"/>
      <c r="DR976" s="173"/>
      <c r="DS976" s="173"/>
      <c r="DT976" s="173"/>
      <c r="DU976" s="173"/>
      <c r="DV976" s="198"/>
    </row>
    <row r="977" spans="85:126" x14ac:dyDescent="0.2">
      <c r="CG977" s="179"/>
      <c r="CH977" s="197"/>
      <c r="CI977" s="180"/>
      <c r="CJ977" s="180"/>
      <c r="CK977" s="180"/>
      <c r="CL977" s="180"/>
      <c r="CM977" s="180"/>
      <c r="CN977" s="180"/>
      <c r="CO977" s="180"/>
      <c r="CP977" s="180"/>
      <c r="CQ977" s="180"/>
      <c r="CR977" s="180"/>
      <c r="CS977" s="180"/>
      <c r="CT977" s="180"/>
      <c r="CU977" s="180"/>
      <c r="CV977" s="173"/>
      <c r="CW977" s="173"/>
      <c r="CX977" s="173"/>
      <c r="CY977" s="173"/>
      <c r="CZ977" s="173"/>
      <c r="DA977" s="198"/>
      <c r="DC977" s="197"/>
      <c r="DD977" s="180"/>
      <c r="DE977" s="180"/>
      <c r="DF977" s="180"/>
      <c r="DG977" s="180"/>
      <c r="DH977" s="180"/>
      <c r="DI977" s="180"/>
      <c r="DJ977" s="180"/>
      <c r="DK977" s="180"/>
      <c r="DL977" s="180"/>
      <c r="DM977" s="180"/>
      <c r="DN977" s="180"/>
      <c r="DO977" s="180"/>
      <c r="DP977" s="180"/>
      <c r="DQ977" s="173"/>
      <c r="DR977" s="173"/>
      <c r="DS977" s="173"/>
      <c r="DT977" s="173"/>
      <c r="DU977" s="173"/>
      <c r="DV977" s="198"/>
    </row>
    <row r="978" spans="85:126" x14ac:dyDescent="0.2">
      <c r="CG978" s="176"/>
      <c r="CH978" s="197"/>
      <c r="CI978" s="180"/>
      <c r="CJ978" s="180"/>
      <c r="CK978" s="180"/>
      <c r="CL978" s="180"/>
      <c r="CM978" s="180"/>
      <c r="CN978" s="180"/>
      <c r="CO978" s="180"/>
      <c r="CP978" s="180"/>
      <c r="CQ978" s="180"/>
      <c r="CR978" s="180"/>
      <c r="CS978" s="180"/>
      <c r="CT978" s="180"/>
      <c r="CU978" s="180"/>
      <c r="CV978" s="173"/>
      <c r="CW978" s="173"/>
      <c r="CX978" s="173"/>
      <c r="CY978" s="173"/>
      <c r="CZ978" s="173"/>
      <c r="DA978" s="198"/>
      <c r="DC978" s="197"/>
      <c r="DD978" s="180"/>
      <c r="DE978" s="180"/>
      <c r="DF978" s="180"/>
      <c r="DG978" s="180"/>
      <c r="DH978" s="180"/>
      <c r="DI978" s="180"/>
      <c r="DJ978" s="180"/>
      <c r="DK978" s="180"/>
      <c r="DL978" s="180"/>
      <c r="DM978" s="180"/>
      <c r="DN978" s="180"/>
      <c r="DO978" s="180"/>
      <c r="DP978" s="180"/>
      <c r="DQ978" s="173"/>
      <c r="DR978" s="173"/>
      <c r="DS978" s="173"/>
      <c r="DT978" s="173"/>
      <c r="DU978" s="173"/>
      <c r="DV978" s="198"/>
    </row>
    <row r="979" spans="85:126" x14ac:dyDescent="0.2">
      <c r="CG979" s="176"/>
      <c r="CH979" s="197"/>
      <c r="CI979" s="180"/>
      <c r="CJ979" s="180"/>
      <c r="CK979" s="180"/>
      <c r="CL979" s="180"/>
      <c r="CM979" s="180"/>
      <c r="CN979" s="180"/>
      <c r="CO979" s="180"/>
      <c r="CP979" s="180"/>
      <c r="CQ979" s="180"/>
      <c r="CR979" s="180"/>
      <c r="CS979" s="180"/>
      <c r="CT979" s="180"/>
      <c r="CU979" s="180"/>
      <c r="CV979" s="173"/>
      <c r="CW979" s="173"/>
      <c r="CX979" s="173"/>
      <c r="CY979" s="173"/>
      <c r="CZ979" s="173"/>
      <c r="DA979" s="198"/>
      <c r="DC979" s="197"/>
      <c r="DD979" s="180"/>
      <c r="DE979" s="180"/>
      <c r="DF979" s="180"/>
      <c r="DG979" s="180"/>
      <c r="DH979" s="180"/>
      <c r="DI979" s="180"/>
      <c r="DJ979" s="180"/>
      <c r="DK979" s="180"/>
      <c r="DL979" s="180"/>
      <c r="DM979" s="180"/>
      <c r="DN979" s="180"/>
      <c r="DO979" s="180"/>
      <c r="DP979" s="180"/>
      <c r="DQ979" s="173"/>
      <c r="DR979" s="173"/>
      <c r="DS979" s="173"/>
      <c r="DT979" s="173"/>
      <c r="DU979" s="173"/>
      <c r="DV979" s="198"/>
    </row>
    <row r="980" spans="85:126" x14ac:dyDescent="0.2">
      <c r="CG980" s="176"/>
      <c r="CH980" s="199"/>
      <c r="CI980" s="200"/>
      <c r="CJ980" s="200"/>
      <c r="CK980" s="200"/>
      <c r="CL980" s="200"/>
      <c r="CM980" s="200"/>
      <c r="CN980" s="200"/>
      <c r="CO980" s="200"/>
      <c r="CP980" s="200"/>
      <c r="CQ980" s="201"/>
      <c r="CR980" s="202"/>
      <c r="CS980" s="200"/>
      <c r="CT980" s="200"/>
      <c r="CU980" s="200"/>
      <c r="CV980" s="203"/>
      <c r="CW980" s="203"/>
      <c r="CX980" s="203"/>
      <c r="CY980" s="203"/>
      <c r="CZ980" s="203"/>
      <c r="DA980" s="204"/>
      <c r="DC980" s="199"/>
      <c r="DD980" s="200"/>
      <c r="DE980" s="200"/>
      <c r="DF980" s="200"/>
      <c r="DG980" s="200"/>
      <c r="DH980" s="200"/>
      <c r="DI980" s="200"/>
      <c r="DJ980" s="200"/>
      <c r="DK980" s="200"/>
      <c r="DL980" s="200"/>
      <c r="DM980" s="200"/>
      <c r="DN980" s="200"/>
      <c r="DO980" s="200"/>
      <c r="DP980" s="200"/>
      <c r="DQ980" s="203"/>
      <c r="DR980" s="203"/>
      <c r="DS980" s="203"/>
      <c r="DT980" s="203"/>
      <c r="DU980" s="203"/>
      <c r="DV980" s="204"/>
    </row>
    <row r="981" spans="85:126" x14ac:dyDescent="0.2">
      <c r="CG981" s="176">
        <v>50</v>
      </c>
      <c r="CH981" s="192"/>
      <c r="CI981" s="193"/>
      <c r="CJ981" s="193"/>
      <c r="CK981" s="193"/>
      <c r="CL981" s="193"/>
      <c r="CM981" s="193"/>
      <c r="CN981" s="193"/>
      <c r="CO981" s="193"/>
      <c r="CP981" s="193"/>
      <c r="CQ981" s="193"/>
      <c r="CR981" s="193"/>
      <c r="CS981" s="193"/>
      <c r="CT981" s="193"/>
      <c r="CU981" s="193"/>
      <c r="CV981" s="194"/>
      <c r="CW981" s="194"/>
      <c r="CX981" s="194"/>
      <c r="CY981" s="194"/>
      <c r="CZ981" s="194"/>
      <c r="DA981" s="195"/>
      <c r="DC981" s="192"/>
      <c r="DD981" s="193"/>
      <c r="DE981" s="193"/>
      <c r="DF981" s="193"/>
      <c r="DG981" s="193"/>
      <c r="DH981" s="193"/>
      <c r="DI981" s="193"/>
      <c r="DJ981" s="193"/>
      <c r="DK981" s="193"/>
      <c r="DL981" s="193"/>
      <c r="DM981" s="193"/>
      <c r="DN981" s="193"/>
      <c r="DO981" s="193"/>
      <c r="DP981" s="193"/>
      <c r="DQ981" s="194"/>
      <c r="DR981" s="194"/>
      <c r="DS981" s="194"/>
      <c r="DT981" s="194"/>
      <c r="DU981" s="194"/>
      <c r="DV981" s="195"/>
    </row>
    <row r="982" spans="85:126" x14ac:dyDescent="0.2">
      <c r="CG982" s="176"/>
      <c r="CH982" s="169"/>
      <c r="CI982" s="177"/>
      <c r="CJ982" s="177"/>
      <c r="CK982" s="177"/>
      <c r="CL982" s="177"/>
      <c r="CM982" s="177"/>
      <c r="CN982" s="177"/>
      <c r="CO982" s="177"/>
      <c r="CP982" s="177"/>
      <c r="CQ982" s="177"/>
      <c r="CR982" s="177"/>
      <c r="CS982" s="177"/>
      <c r="CT982" s="177"/>
      <c r="CU982" s="177"/>
      <c r="CV982" s="172"/>
      <c r="CW982" s="172"/>
      <c r="CX982" s="172"/>
      <c r="CY982" s="172"/>
      <c r="CZ982" s="172"/>
      <c r="DA982" s="196"/>
      <c r="DC982" s="169"/>
      <c r="DD982" s="177"/>
      <c r="DE982" s="177"/>
      <c r="DF982" s="177"/>
      <c r="DG982" s="177"/>
      <c r="DH982" s="177"/>
      <c r="DI982" s="177"/>
      <c r="DJ982" s="177"/>
      <c r="DK982" s="177"/>
      <c r="DL982" s="177"/>
      <c r="DM982" s="177"/>
      <c r="DN982" s="177"/>
      <c r="DO982" s="177"/>
      <c r="DP982" s="177"/>
      <c r="DQ982" s="172"/>
      <c r="DR982" s="172"/>
      <c r="DS982" s="172"/>
      <c r="DT982" s="172"/>
      <c r="DU982" s="172"/>
      <c r="DV982" s="196"/>
    </row>
    <row r="983" spans="85:126" x14ac:dyDescent="0.2">
      <c r="CG983" s="131"/>
      <c r="CH983" s="169"/>
      <c r="CI983" s="177"/>
      <c r="CJ983" s="177"/>
      <c r="CK983" s="177"/>
      <c r="CL983" s="177"/>
      <c r="CM983" s="177"/>
      <c r="CN983" s="177"/>
      <c r="CO983" s="177"/>
      <c r="CP983" s="177"/>
      <c r="CQ983" s="177"/>
      <c r="CR983" s="177"/>
      <c r="CS983" s="177"/>
      <c r="CT983" s="177"/>
      <c r="CU983" s="177"/>
      <c r="CV983" s="172"/>
      <c r="CW983" s="172"/>
      <c r="CX983" s="172"/>
      <c r="CY983" s="172"/>
      <c r="CZ983" s="172"/>
      <c r="DA983" s="196"/>
      <c r="DC983" s="169"/>
      <c r="DD983" s="177"/>
      <c r="DE983" s="177"/>
      <c r="DF983" s="177"/>
      <c r="DG983" s="177"/>
      <c r="DH983" s="177"/>
      <c r="DI983" s="177"/>
      <c r="DJ983" s="177"/>
      <c r="DK983" s="177"/>
      <c r="DL983" s="177"/>
      <c r="DM983" s="177"/>
      <c r="DN983" s="177"/>
      <c r="DO983" s="177"/>
      <c r="DP983" s="177"/>
      <c r="DQ983" s="172"/>
      <c r="DR983" s="172"/>
      <c r="DS983" s="172"/>
      <c r="DT983" s="172"/>
      <c r="DU983" s="172"/>
      <c r="DV983" s="196"/>
    </row>
    <row r="984" spans="85:126" x14ac:dyDescent="0.2">
      <c r="CG984" s="176"/>
      <c r="CH984" s="169"/>
      <c r="CI984" s="177"/>
      <c r="CJ984" s="177"/>
      <c r="CK984" s="177"/>
      <c r="CL984" s="177"/>
      <c r="CM984" s="177"/>
      <c r="CN984" s="177"/>
      <c r="CO984" s="177"/>
      <c r="CP984" s="177"/>
      <c r="CQ984" s="177"/>
      <c r="CR984" s="177"/>
      <c r="CS984" s="177"/>
      <c r="CT984" s="177"/>
      <c r="CU984" s="177"/>
      <c r="CV984" s="172"/>
      <c r="CW984" s="172"/>
      <c r="CX984" s="172"/>
      <c r="CY984" s="172"/>
      <c r="CZ984" s="172"/>
      <c r="DA984" s="196"/>
      <c r="DC984" s="169"/>
      <c r="DD984" s="177"/>
      <c r="DE984" s="177"/>
      <c r="DF984" s="177"/>
      <c r="DG984" s="177"/>
      <c r="DH984" s="177"/>
      <c r="DI984" s="177"/>
      <c r="DJ984" s="177"/>
      <c r="DK984" s="177"/>
      <c r="DL984" s="177"/>
      <c r="DM984" s="177"/>
      <c r="DN984" s="177"/>
      <c r="DO984" s="177"/>
      <c r="DP984" s="177"/>
      <c r="DQ984" s="172"/>
      <c r="DR984" s="172"/>
      <c r="DS984" s="172"/>
      <c r="DT984" s="172"/>
      <c r="DU984" s="172"/>
      <c r="DV984" s="196"/>
    </row>
    <row r="985" spans="85:126" x14ac:dyDescent="0.2">
      <c r="CG985" s="178"/>
      <c r="CH985" s="169"/>
      <c r="CI985" s="177"/>
      <c r="CJ985" s="177"/>
      <c r="CK985" s="177"/>
      <c r="CL985" s="177"/>
      <c r="CM985" s="177"/>
      <c r="CN985" s="177"/>
      <c r="CO985" s="177"/>
      <c r="CP985" s="177"/>
      <c r="CQ985" s="177"/>
      <c r="CR985" s="177"/>
      <c r="CS985" s="177"/>
      <c r="CT985" s="177"/>
      <c r="CU985" s="177"/>
      <c r="CV985" s="172"/>
      <c r="CW985" s="172"/>
      <c r="CX985" s="172"/>
      <c r="CY985" s="172"/>
      <c r="CZ985" s="172"/>
      <c r="DA985" s="196"/>
      <c r="DC985" s="169"/>
      <c r="DD985" s="177"/>
      <c r="DE985" s="177"/>
      <c r="DF985" s="177"/>
      <c r="DG985" s="177"/>
      <c r="DH985" s="177"/>
      <c r="DI985" s="177"/>
      <c r="DJ985" s="177"/>
      <c r="DK985" s="177"/>
      <c r="DL985" s="177"/>
      <c r="DM985" s="177"/>
      <c r="DN985" s="177"/>
      <c r="DO985" s="177"/>
      <c r="DP985" s="177"/>
      <c r="DQ985" s="172"/>
      <c r="DR985" s="172"/>
      <c r="DS985" s="172"/>
      <c r="DT985" s="172"/>
      <c r="DU985" s="172"/>
      <c r="DV985" s="196"/>
    </row>
    <row r="986" spans="85:126" x14ac:dyDescent="0.2">
      <c r="CG986" s="179"/>
      <c r="CH986" s="169"/>
      <c r="CI986" s="177"/>
      <c r="CJ986" s="177"/>
      <c r="CK986" s="177"/>
      <c r="CL986" s="177"/>
      <c r="CM986" s="177"/>
      <c r="CN986" s="177"/>
      <c r="CO986" s="177"/>
      <c r="CP986" s="177"/>
      <c r="CQ986" s="177"/>
      <c r="CR986" s="177"/>
      <c r="CS986" s="177"/>
      <c r="CT986" s="177"/>
      <c r="CU986" s="177"/>
      <c r="CV986" s="172"/>
      <c r="CW986" s="172"/>
      <c r="CX986" s="172"/>
      <c r="CY986" s="172"/>
      <c r="CZ986" s="172"/>
      <c r="DA986" s="196"/>
      <c r="DC986" s="169"/>
      <c r="DD986" s="177"/>
      <c r="DE986" s="177"/>
      <c r="DF986" s="177"/>
      <c r="DG986" s="177"/>
      <c r="DH986" s="177"/>
      <c r="DI986" s="177"/>
      <c r="DJ986" s="177"/>
      <c r="DK986" s="177"/>
      <c r="DL986" s="177"/>
      <c r="DM986" s="177"/>
      <c r="DN986" s="177"/>
      <c r="DO986" s="177"/>
      <c r="DP986" s="177"/>
      <c r="DQ986" s="172"/>
      <c r="DR986" s="172"/>
      <c r="DS986" s="172"/>
      <c r="DT986" s="172"/>
      <c r="DU986" s="172"/>
      <c r="DV986" s="196"/>
    </row>
    <row r="987" spans="85:126" x14ac:dyDescent="0.2">
      <c r="CG987" s="179"/>
      <c r="CH987" s="169"/>
      <c r="CI987" s="177"/>
      <c r="CJ987" s="177"/>
      <c r="CK987" s="177"/>
      <c r="CL987" s="177"/>
      <c r="CM987" s="177"/>
      <c r="CN987" s="177"/>
      <c r="CO987" s="177"/>
      <c r="CP987" s="177"/>
      <c r="CQ987" s="177"/>
      <c r="CR987" s="177"/>
      <c r="CS987" s="177"/>
      <c r="CT987" s="177"/>
      <c r="CU987" s="177"/>
      <c r="CV987" s="172"/>
      <c r="CW987" s="172"/>
      <c r="CX987" s="172"/>
      <c r="CY987" s="172"/>
      <c r="CZ987" s="172"/>
      <c r="DA987" s="196"/>
      <c r="DC987" s="169"/>
      <c r="DD987" s="177"/>
      <c r="DE987" s="177"/>
      <c r="DF987" s="177"/>
      <c r="DG987" s="177"/>
      <c r="DH987" s="177"/>
      <c r="DI987" s="177"/>
      <c r="DJ987" s="177"/>
      <c r="DK987" s="177"/>
      <c r="DL987" s="177"/>
      <c r="DM987" s="177"/>
      <c r="DN987" s="177"/>
      <c r="DO987" s="177"/>
      <c r="DP987" s="177"/>
      <c r="DQ987" s="172"/>
      <c r="DR987" s="172"/>
      <c r="DS987" s="172"/>
      <c r="DT987" s="172"/>
      <c r="DU987" s="172"/>
      <c r="DV987" s="196"/>
    </row>
    <row r="988" spans="85:126" x14ac:dyDescent="0.2">
      <c r="CG988" s="179"/>
      <c r="CH988" s="169"/>
      <c r="CI988" s="177"/>
      <c r="CJ988" s="177"/>
      <c r="CK988" s="177"/>
      <c r="CL988" s="177"/>
      <c r="CM988" s="177"/>
      <c r="CN988" s="177"/>
      <c r="CO988" s="177"/>
      <c r="CP988" s="177"/>
      <c r="CQ988" s="177"/>
      <c r="CR988" s="177"/>
      <c r="CS988" s="177"/>
      <c r="CT988" s="177"/>
      <c r="CU988" s="177"/>
      <c r="CV988" s="172"/>
      <c r="CW988" s="172"/>
      <c r="CX988" s="172"/>
      <c r="CY988" s="172"/>
      <c r="CZ988" s="172"/>
      <c r="DA988" s="196"/>
      <c r="DC988" s="169"/>
      <c r="DD988" s="177"/>
      <c r="DE988" s="177"/>
      <c r="DF988" s="177"/>
      <c r="DG988" s="177"/>
      <c r="DH988" s="177"/>
      <c r="DI988" s="177"/>
      <c r="DJ988" s="177"/>
      <c r="DK988" s="177"/>
      <c r="DL988" s="177"/>
      <c r="DM988" s="177"/>
      <c r="DN988" s="177"/>
      <c r="DO988" s="177"/>
      <c r="DP988" s="177"/>
      <c r="DQ988" s="172"/>
      <c r="DR988" s="172"/>
      <c r="DS988" s="172"/>
      <c r="DT988" s="172"/>
      <c r="DU988" s="172"/>
      <c r="DV988" s="196"/>
    </row>
    <row r="989" spans="85:126" x14ac:dyDescent="0.2">
      <c r="CG989" s="179"/>
      <c r="CH989" s="169"/>
      <c r="CI989" s="177"/>
      <c r="CJ989" s="177"/>
      <c r="CK989" s="177"/>
      <c r="CL989" s="177"/>
      <c r="CM989" s="177"/>
      <c r="CN989" s="177"/>
      <c r="CO989" s="177"/>
      <c r="CP989" s="177"/>
      <c r="CQ989" s="177"/>
      <c r="CR989" s="177"/>
      <c r="CS989" s="177"/>
      <c r="CT989" s="177"/>
      <c r="CU989" s="177"/>
      <c r="CV989" s="172"/>
      <c r="CW989" s="172"/>
      <c r="CX989" s="172"/>
      <c r="CY989" s="172"/>
      <c r="CZ989" s="172"/>
      <c r="DA989" s="196"/>
      <c r="DC989" s="169"/>
      <c r="DD989" s="177"/>
      <c r="DE989" s="177"/>
      <c r="DF989" s="177"/>
      <c r="DG989" s="177"/>
      <c r="DH989" s="177"/>
      <c r="DI989" s="177"/>
      <c r="DJ989" s="177"/>
      <c r="DK989" s="177"/>
      <c r="DL989" s="177"/>
      <c r="DM989" s="177"/>
      <c r="DN989" s="177"/>
      <c r="DO989" s="177"/>
      <c r="DP989" s="177"/>
      <c r="DQ989" s="172"/>
      <c r="DR989" s="172"/>
      <c r="DS989" s="172"/>
      <c r="DT989" s="172"/>
      <c r="DU989" s="172"/>
      <c r="DV989" s="196"/>
    </row>
    <row r="990" spans="85:126" x14ac:dyDescent="0.2">
      <c r="CG990" s="179"/>
      <c r="CH990" s="169"/>
      <c r="CI990" s="177"/>
      <c r="CJ990" s="177"/>
      <c r="CK990" s="177"/>
      <c r="CL990" s="177"/>
      <c r="CM990" s="177"/>
      <c r="CN990" s="177"/>
      <c r="CO990" s="177"/>
      <c r="CP990" s="177"/>
      <c r="CQ990" s="177"/>
      <c r="CR990" s="177"/>
      <c r="CS990" s="177"/>
      <c r="CT990" s="177"/>
      <c r="CU990" s="177"/>
      <c r="CV990" s="172"/>
      <c r="CW990" s="172"/>
      <c r="CX990" s="172"/>
      <c r="CY990" s="172"/>
      <c r="CZ990" s="172"/>
      <c r="DA990" s="196"/>
      <c r="DC990" s="169"/>
      <c r="DD990" s="177"/>
      <c r="DE990" s="177"/>
      <c r="DF990" s="177"/>
      <c r="DG990" s="177"/>
      <c r="DH990" s="177"/>
      <c r="DI990" s="177"/>
      <c r="DJ990" s="177"/>
      <c r="DK990" s="177"/>
      <c r="DL990" s="177"/>
      <c r="DM990" s="177"/>
      <c r="DN990" s="177"/>
      <c r="DO990" s="177"/>
      <c r="DP990" s="177"/>
      <c r="DQ990" s="172"/>
      <c r="DR990" s="172"/>
      <c r="DS990" s="172"/>
      <c r="DT990" s="172"/>
      <c r="DU990" s="172"/>
      <c r="DV990" s="196"/>
    </row>
    <row r="991" spans="85:126" x14ac:dyDescent="0.2">
      <c r="CG991" s="179"/>
      <c r="CH991" s="169"/>
      <c r="CI991" s="177"/>
      <c r="CJ991" s="177"/>
      <c r="CK991" s="177"/>
      <c r="CL991" s="177"/>
      <c r="CM991" s="177"/>
      <c r="CN991" s="177"/>
      <c r="CO991" s="177"/>
      <c r="CP991" s="177"/>
      <c r="CQ991" s="177"/>
      <c r="CR991" s="177"/>
      <c r="CS991" s="177"/>
      <c r="CT991" s="177"/>
      <c r="CU991" s="177"/>
      <c r="CV991" s="172"/>
      <c r="CW991" s="172"/>
      <c r="CX991" s="172"/>
      <c r="CY991" s="172"/>
      <c r="CZ991" s="172"/>
      <c r="DA991" s="196"/>
      <c r="DC991" s="169"/>
      <c r="DD991" s="177"/>
      <c r="DE991" s="177"/>
      <c r="DF991" s="177"/>
      <c r="DG991" s="177"/>
      <c r="DH991" s="177"/>
      <c r="DI991" s="177"/>
      <c r="DJ991" s="177"/>
      <c r="DK991" s="177"/>
      <c r="DL991" s="177"/>
      <c r="DM991" s="177"/>
      <c r="DN991" s="177"/>
      <c r="DO991" s="177"/>
      <c r="DP991" s="177"/>
      <c r="DQ991" s="172"/>
      <c r="DR991" s="172"/>
      <c r="DS991" s="172"/>
      <c r="DT991" s="172"/>
      <c r="DU991" s="172"/>
      <c r="DV991" s="196"/>
    </row>
    <row r="992" spans="85:126" x14ac:dyDescent="0.2">
      <c r="CG992" s="179"/>
      <c r="CH992" s="169"/>
      <c r="CI992" s="177"/>
      <c r="CJ992" s="177"/>
      <c r="CK992" s="177"/>
      <c r="CL992" s="177"/>
      <c r="CM992" s="177"/>
      <c r="CN992" s="177"/>
      <c r="CO992" s="177"/>
      <c r="CP992" s="177"/>
      <c r="CQ992" s="177"/>
      <c r="CR992" s="177"/>
      <c r="CS992" s="177"/>
      <c r="CT992" s="177"/>
      <c r="CU992" s="177"/>
      <c r="CV992" s="172"/>
      <c r="CW992" s="172"/>
      <c r="CX992" s="172"/>
      <c r="CY992" s="172"/>
      <c r="CZ992" s="172"/>
      <c r="DA992" s="196"/>
      <c r="DC992" s="169"/>
      <c r="DD992" s="177"/>
      <c r="DE992" s="177"/>
      <c r="DF992" s="177"/>
      <c r="DG992" s="177"/>
      <c r="DH992" s="177"/>
      <c r="DI992" s="177"/>
      <c r="DJ992" s="177"/>
      <c r="DK992" s="177"/>
      <c r="DL992" s="177"/>
      <c r="DM992" s="177"/>
      <c r="DN992" s="177"/>
      <c r="DO992" s="177"/>
      <c r="DP992" s="177"/>
      <c r="DQ992" s="172"/>
      <c r="DR992" s="172"/>
      <c r="DS992" s="172"/>
      <c r="DT992" s="172"/>
      <c r="DU992" s="172"/>
      <c r="DV992" s="196"/>
    </row>
    <row r="993" spans="85:126" x14ac:dyDescent="0.2">
      <c r="CG993" s="179"/>
      <c r="CH993" s="197"/>
      <c r="CI993" s="180"/>
      <c r="CJ993" s="180"/>
      <c r="CK993" s="180"/>
      <c r="CL993" s="180"/>
      <c r="CM993" s="180"/>
      <c r="CN993" s="180"/>
      <c r="CO993" s="180"/>
      <c r="CP993" s="180"/>
      <c r="CQ993" s="180"/>
      <c r="CR993" s="180"/>
      <c r="CS993" s="180"/>
      <c r="CT993" s="180"/>
      <c r="CU993" s="180"/>
      <c r="CV993" s="173"/>
      <c r="CW993" s="173"/>
      <c r="CX993" s="173"/>
      <c r="CY993" s="173"/>
      <c r="CZ993" s="173"/>
      <c r="DA993" s="198"/>
      <c r="DC993" s="197"/>
      <c r="DD993" s="180"/>
      <c r="DE993" s="180"/>
      <c r="DF993" s="180"/>
      <c r="DG993" s="180"/>
      <c r="DH993" s="180"/>
      <c r="DI993" s="180"/>
      <c r="DJ993" s="180"/>
      <c r="DK993" s="180"/>
      <c r="DL993" s="180"/>
      <c r="DM993" s="180"/>
      <c r="DN993" s="180"/>
      <c r="DO993" s="180"/>
      <c r="DP993" s="180"/>
      <c r="DQ993" s="173"/>
      <c r="DR993" s="173"/>
      <c r="DS993" s="173"/>
      <c r="DT993" s="173"/>
      <c r="DU993" s="173"/>
      <c r="DV993" s="198"/>
    </row>
    <row r="994" spans="85:126" x14ac:dyDescent="0.2">
      <c r="CG994" s="179"/>
      <c r="CH994" s="197"/>
      <c r="CI994" s="180"/>
      <c r="CJ994" s="180"/>
      <c r="CK994" s="180"/>
      <c r="CL994" s="180"/>
      <c r="CM994" s="180"/>
      <c r="CN994" s="180"/>
      <c r="CO994" s="180"/>
      <c r="CP994" s="180"/>
      <c r="CQ994" s="180"/>
      <c r="CR994" s="180"/>
      <c r="CS994" s="180"/>
      <c r="CT994" s="180"/>
      <c r="CU994" s="180"/>
      <c r="CV994" s="173"/>
      <c r="CW994" s="173"/>
      <c r="CX994" s="173"/>
      <c r="CY994" s="173"/>
      <c r="CZ994" s="173"/>
      <c r="DA994" s="198"/>
      <c r="DC994" s="197"/>
      <c r="DD994" s="180"/>
      <c r="DE994" s="180"/>
      <c r="DF994" s="180"/>
      <c r="DG994" s="180"/>
      <c r="DH994" s="180"/>
      <c r="DI994" s="180"/>
      <c r="DJ994" s="180"/>
      <c r="DK994" s="180"/>
      <c r="DL994" s="180"/>
      <c r="DM994" s="180"/>
      <c r="DN994" s="180"/>
      <c r="DO994" s="180"/>
      <c r="DP994" s="180"/>
      <c r="DQ994" s="173"/>
      <c r="DR994" s="173"/>
      <c r="DS994" s="173"/>
      <c r="DT994" s="173"/>
      <c r="DU994" s="173"/>
      <c r="DV994" s="198"/>
    </row>
    <row r="995" spans="85:126" x14ac:dyDescent="0.2">
      <c r="CG995" s="179"/>
      <c r="CH995" s="197"/>
      <c r="CI995" s="180"/>
      <c r="CJ995" s="180"/>
      <c r="CK995" s="180"/>
      <c r="CL995" s="180"/>
      <c r="CM995" s="180"/>
      <c r="CN995" s="180"/>
      <c r="CO995" s="180"/>
      <c r="CP995" s="180"/>
      <c r="CQ995" s="180"/>
      <c r="CR995" s="180"/>
      <c r="CS995" s="180"/>
      <c r="CT995" s="180"/>
      <c r="CU995" s="180"/>
      <c r="CV995" s="173"/>
      <c r="CW995" s="173"/>
      <c r="CX995" s="173"/>
      <c r="CY995" s="173"/>
      <c r="CZ995" s="173"/>
      <c r="DA995" s="198"/>
      <c r="DC995" s="197"/>
      <c r="DD995" s="180"/>
      <c r="DE995" s="180"/>
      <c r="DF995" s="180"/>
      <c r="DG995" s="180"/>
      <c r="DH995" s="180"/>
      <c r="DI995" s="180"/>
      <c r="DJ995" s="180"/>
      <c r="DK995" s="180"/>
      <c r="DL995" s="180"/>
      <c r="DM995" s="180"/>
      <c r="DN995" s="180"/>
      <c r="DO995" s="180"/>
      <c r="DP995" s="180"/>
      <c r="DQ995" s="173"/>
      <c r="DR995" s="173"/>
      <c r="DS995" s="173"/>
      <c r="DT995" s="173"/>
      <c r="DU995" s="173"/>
      <c r="DV995" s="198"/>
    </row>
    <row r="996" spans="85:126" x14ac:dyDescent="0.2">
      <c r="CG996" s="179"/>
      <c r="CH996" s="197"/>
      <c r="CI996" s="180"/>
      <c r="CJ996" s="180"/>
      <c r="CK996" s="180"/>
      <c r="CL996" s="180"/>
      <c r="CM996" s="180"/>
      <c r="CN996" s="180"/>
      <c r="CO996" s="180"/>
      <c r="CP996" s="180"/>
      <c r="CQ996" s="180"/>
      <c r="CR996" s="180"/>
      <c r="CS996" s="180"/>
      <c r="CT996" s="180"/>
      <c r="CU996" s="180"/>
      <c r="CV996" s="173"/>
      <c r="CW996" s="173"/>
      <c r="CX996" s="173"/>
      <c r="CY996" s="173"/>
      <c r="CZ996" s="173"/>
      <c r="DA996" s="198"/>
      <c r="DC996" s="197"/>
      <c r="DD996" s="180"/>
      <c r="DE996" s="180"/>
      <c r="DF996" s="180"/>
      <c r="DG996" s="180"/>
      <c r="DH996" s="180"/>
      <c r="DI996" s="180"/>
      <c r="DJ996" s="180"/>
      <c r="DK996" s="180"/>
      <c r="DL996" s="180"/>
      <c r="DM996" s="180"/>
      <c r="DN996" s="180"/>
      <c r="DO996" s="180"/>
      <c r="DP996" s="180"/>
      <c r="DQ996" s="173"/>
      <c r="DR996" s="173"/>
      <c r="DS996" s="173"/>
      <c r="DT996" s="173"/>
      <c r="DU996" s="173"/>
      <c r="DV996" s="198"/>
    </row>
    <row r="997" spans="85:126" x14ac:dyDescent="0.2">
      <c r="CG997" s="179"/>
      <c r="CH997" s="197"/>
      <c r="CI997" s="180"/>
      <c r="CJ997" s="180"/>
      <c r="CK997" s="180"/>
      <c r="CL997" s="180"/>
      <c r="CM997" s="180"/>
      <c r="CN997" s="180"/>
      <c r="CO997" s="180"/>
      <c r="CP997" s="180"/>
      <c r="CQ997" s="180"/>
      <c r="CR997" s="180"/>
      <c r="CS997" s="180"/>
      <c r="CT997" s="180"/>
      <c r="CU997" s="180"/>
      <c r="CV997" s="173"/>
      <c r="CW997" s="173"/>
      <c r="CX997" s="173"/>
      <c r="CY997" s="173"/>
      <c r="CZ997" s="173"/>
      <c r="DA997" s="198"/>
      <c r="DC997" s="197"/>
      <c r="DD997" s="180"/>
      <c r="DE997" s="180"/>
      <c r="DF997" s="180"/>
      <c r="DG997" s="180"/>
      <c r="DH997" s="180"/>
      <c r="DI997" s="180"/>
      <c r="DJ997" s="180"/>
      <c r="DK997" s="180"/>
      <c r="DL997" s="180"/>
      <c r="DM997" s="180"/>
      <c r="DN997" s="180"/>
      <c r="DO997" s="180"/>
      <c r="DP997" s="180"/>
      <c r="DQ997" s="173"/>
      <c r="DR997" s="173"/>
      <c r="DS997" s="173"/>
      <c r="DT997" s="173"/>
      <c r="DU997" s="173"/>
      <c r="DV997" s="198"/>
    </row>
    <row r="998" spans="85:126" x14ac:dyDescent="0.2">
      <c r="CG998" s="176"/>
      <c r="CH998" s="197"/>
      <c r="CI998" s="180"/>
      <c r="CJ998" s="180"/>
      <c r="CK998" s="180"/>
      <c r="CL998" s="180"/>
      <c r="CM998" s="180"/>
      <c r="CN998" s="180"/>
      <c r="CO998" s="180"/>
      <c r="CP998" s="180"/>
      <c r="CQ998" s="180"/>
      <c r="CR998" s="180"/>
      <c r="CS998" s="180"/>
      <c r="CT998" s="180"/>
      <c r="CU998" s="180"/>
      <c r="CV998" s="173"/>
      <c r="CW998" s="173"/>
      <c r="CX998" s="173"/>
      <c r="CY998" s="173"/>
      <c r="CZ998" s="173"/>
      <c r="DA998" s="198"/>
      <c r="DC998" s="197"/>
      <c r="DD998" s="180"/>
      <c r="DE998" s="180"/>
      <c r="DF998" s="180"/>
      <c r="DG998" s="180"/>
      <c r="DH998" s="180"/>
      <c r="DI998" s="180"/>
      <c r="DJ998" s="180"/>
      <c r="DK998" s="180"/>
      <c r="DL998" s="180"/>
      <c r="DM998" s="180"/>
      <c r="DN998" s="180"/>
      <c r="DO998" s="180"/>
      <c r="DP998" s="180"/>
      <c r="DQ998" s="173"/>
      <c r="DR998" s="173"/>
      <c r="DS998" s="173"/>
      <c r="DT998" s="173"/>
      <c r="DU998" s="173"/>
      <c r="DV998" s="198"/>
    </row>
    <row r="999" spans="85:126" x14ac:dyDescent="0.2">
      <c r="CG999" s="176"/>
      <c r="CH999" s="197"/>
      <c r="CI999" s="180"/>
      <c r="CJ999" s="180"/>
      <c r="CK999" s="180"/>
      <c r="CL999" s="180"/>
      <c r="CM999" s="180"/>
      <c r="CN999" s="180"/>
      <c r="CO999" s="180"/>
      <c r="CP999" s="180"/>
      <c r="CQ999" s="180"/>
      <c r="CR999" s="180"/>
      <c r="CS999" s="180"/>
      <c r="CT999" s="180"/>
      <c r="CU999" s="180"/>
      <c r="CV999" s="173"/>
      <c r="CW999" s="173"/>
      <c r="CX999" s="173"/>
      <c r="CY999" s="173"/>
      <c r="CZ999" s="173"/>
      <c r="DA999" s="198"/>
      <c r="DC999" s="197"/>
      <c r="DD999" s="180"/>
      <c r="DE999" s="180"/>
      <c r="DF999" s="180"/>
      <c r="DG999" s="180"/>
      <c r="DH999" s="180"/>
      <c r="DI999" s="180"/>
      <c r="DJ999" s="180"/>
      <c r="DK999" s="180"/>
      <c r="DL999" s="180"/>
      <c r="DM999" s="180"/>
      <c r="DN999" s="180"/>
      <c r="DO999" s="180"/>
      <c r="DP999" s="180"/>
      <c r="DQ999" s="173"/>
      <c r="DR999" s="173"/>
      <c r="DS999" s="173"/>
      <c r="DT999" s="173"/>
      <c r="DU999" s="173"/>
      <c r="DV999" s="198"/>
    </row>
    <row r="1000" spans="85:126" x14ac:dyDescent="0.2">
      <c r="CG1000" s="176"/>
      <c r="CH1000" s="199"/>
      <c r="CI1000" s="200"/>
      <c r="CJ1000" s="200"/>
      <c r="CK1000" s="200"/>
      <c r="CL1000" s="200"/>
      <c r="CM1000" s="200"/>
      <c r="CN1000" s="200"/>
      <c r="CO1000" s="200"/>
      <c r="CP1000" s="200"/>
      <c r="CQ1000" s="201"/>
      <c r="CR1000" s="202"/>
      <c r="CS1000" s="200"/>
      <c r="CT1000" s="200"/>
      <c r="CU1000" s="200"/>
      <c r="CV1000" s="203"/>
      <c r="CW1000" s="203"/>
      <c r="CX1000" s="203"/>
      <c r="CY1000" s="203"/>
      <c r="CZ1000" s="203"/>
      <c r="DA1000" s="204"/>
      <c r="DC1000" s="199"/>
      <c r="DD1000" s="200"/>
      <c r="DE1000" s="200"/>
      <c r="DF1000" s="200"/>
      <c r="DG1000" s="200"/>
      <c r="DH1000" s="200"/>
      <c r="DI1000" s="200"/>
      <c r="DJ1000" s="200"/>
      <c r="DK1000" s="200"/>
      <c r="DL1000" s="200"/>
      <c r="DM1000" s="200"/>
      <c r="DN1000" s="200"/>
      <c r="DO1000" s="200"/>
      <c r="DP1000" s="200"/>
      <c r="DQ1000" s="203"/>
      <c r="DR1000" s="203"/>
      <c r="DS1000" s="203"/>
      <c r="DT1000" s="203"/>
      <c r="DU1000" s="203"/>
      <c r="DV1000" s="204"/>
    </row>
  </sheetData>
  <conditionalFormatting sqref="CO18:CQ18 CS18:CV18">
    <cfRule type="cellIs" dxfId="391" priority="9" operator="equal">
      <formula>1</formula>
    </cfRule>
  </conditionalFormatting>
  <conditionalFormatting sqref="CO18:CQ18">
    <cfRule type="cellIs" dxfId="390" priority="10" operator="equal">
      <formula>2</formula>
    </cfRule>
  </conditionalFormatting>
  <conditionalFormatting sqref="DQ18">
    <cfRule type="cellIs" dxfId="389" priority="7" operator="equal">
      <formula>1</formula>
    </cfRule>
  </conditionalFormatting>
  <conditionalFormatting sqref="CN34:CT34">
    <cfRule type="cellIs" dxfId="356" priority="6" operator="equal">
      <formula>1</formula>
    </cfRule>
  </conditionalFormatting>
  <conditionalFormatting sqref="CM34">
    <cfRule type="cellIs" dxfId="253" priority="5" operator="equal">
      <formula>1</formula>
    </cfRule>
  </conditionalFormatting>
  <conditionalFormatting sqref="CN33:CU33">
    <cfRule type="cellIs" dxfId="252" priority="4" operator="equal">
      <formula>1</formula>
    </cfRule>
  </conditionalFormatting>
  <conditionalFormatting sqref="CM33">
    <cfRule type="cellIs" dxfId="251" priority="3" operator="equal">
      <formula>1</formula>
    </cfRule>
  </conditionalFormatting>
  <conditionalFormatting sqref="CN32:CQ32">
    <cfRule type="cellIs" dxfId="250" priority="2" operator="equal">
      <formula>1</formula>
    </cfRule>
  </conditionalFormatting>
  <conditionalFormatting sqref="CM32">
    <cfRule type="cellIs" dxfId="249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L50"/>
  <sheetViews>
    <sheetView tabSelected="1" workbookViewId="0"/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248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8"/>
      <c r="R1" s="218"/>
      <c r="S1" s="249"/>
      <c r="T1" s="250"/>
      <c r="U1" s="250"/>
      <c r="V1" s="250"/>
      <c r="W1" s="250"/>
      <c r="X1" s="251"/>
      <c r="Y1" s="251"/>
      <c r="Z1" s="251"/>
      <c r="AA1" s="251"/>
      <c r="AB1" s="252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49"/>
      <c r="AR1" s="250"/>
      <c r="AS1" s="250"/>
      <c r="AT1" s="250"/>
      <c r="AU1" s="251"/>
      <c r="AV1" s="251"/>
      <c r="AW1" s="251"/>
      <c r="AX1" s="252"/>
      <c r="AY1" s="219"/>
      <c r="AZ1" s="219"/>
      <c r="BA1" s="219"/>
      <c r="BB1" s="219"/>
      <c r="BC1" s="219"/>
      <c r="BD1" s="219"/>
      <c r="BE1" s="217"/>
      <c r="BF1" s="217"/>
      <c r="BG1" s="217"/>
      <c r="BH1" s="217"/>
      <c r="BI1" s="217"/>
      <c r="BJ1" s="217"/>
      <c r="BK1" s="217"/>
      <c r="BL1" s="253"/>
    </row>
    <row r="2" spans="1:64" x14ac:dyDescent="0.2">
      <c r="A2" s="254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2"/>
      <c r="R2" s="222"/>
      <c r="S2" s="238"/>
      <c r="T2" s="233"/>
      <c r="U2" s="233"/>
      <c r="V2" s="233"/>
      <c r="W2" s="233"/>
      <c r="X2" s="234"/>
      <c r="Y2" s="234"/>
      <c r="Z2" s="234"/>
      <c r="AA2" s="234"/>
      <c r="AB2" s="24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38"/>
      <c r="AR2" s="233"/>
      <c r="AS2" s="233"/>
      <c r="AT2" s="233"/>
      <c r="AU2" s="234"/>
      <c r="AV2" s="234"/>
      <c r="AW2" s="234"/>
      <c r="AX2" s="241"/>
      <c r="AY2" s="220"/>
      <c r="AZ2" s="220"/>
      <c r="BA2" s="220"/>
      <c r="BB2" s="220"/>
      <c r="BC2" s="220"/>
      <c r="BD2" s="220"/>
      <c r="BE2" s="221"/>
      <c r="BF2" s="221"/>
      <c r="BG2" s="221"/>
      <c r="BH2" s="221"/>
      <c r="BI2" s="221"/>
      <c r="BJ2" s="221"/>
      <c r="BK2" s="221"/>
      <c r="BL2" s="255"/>
    </row>
    <row r="3" spans="1:64" x14ac:dyDescent="0.2">
      <c r="A3" s="254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2"/>
      <c r="R3" s="222"/>
      <c r="S3" s="238"/>
      <c r="T3" s="233"/>
      <c r="U3" s="233"/>
      <c r="V3" s="233"/>
      <c r="W3" s="233"/>
      <c r="X3" s="234"/>
      <c r="Y3" s="234"/>
      <c r="Z3" s="234"/>
      <c r="AA3" s="234"/>
      <c r="AB3" s="241"/>
      <c r="AC3" s="220"/>
      <c r="AD3" s="220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38"/>
      <c r="AR3" s="233"/>
      <c r="AS3" s="233"/>
      <c r="AT3" s="233"/>
      <c r="AU3" s="234"/>
      <c r="AV3" s="234"/>
      <c r="AW3" s="234"/>
      <c r="AX3" s="241"/>
      <c r="AY3" s="220"/>
      <c r="AZ3" s="220"/>
      <c r="BA3" s="220"/>
      <c r="BB3" s="220"/>
      <c r="BC3" s="220"/>
      <c r="BD3" s="220"/>
      <c r="BE3" s="221"/>
      <c r="BF3" s="221"/>
      <c r="BG3" s="221"/>
      <c r="BH3" s="221"/>
      <c r="BI3" s="221"/>
      <c r="BJ3" s="221"/>
      <c r="BK3" s="221"/>
      <c r="BL3" s="255"/>
    </row>
    <row r="4" spans="1:64" x14ac:dyDescent="0.2">
      <c r="A4" s="254"/>
      <c r="B4" s="221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4"/>
      <c r="R4" s="224"/>
      <c r="S4" s="238"/>
      <c r="T4" s="233"/>
      <c r="U4" s="233"/>
      <c r="V4" s="233"/>
      <c r="W4" s="233"/>
      <c r="X4" s="234"/>
      <c r="Y4" s="234"/>
      <c r="Z4" s="234"/>
      <c r="AA4" s="234"/>
      <c r="AB4" s="241"/>
      <c r="AC4" s="220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39"/>
      <c r="AR4" s="234"/>
      <c r="AS4" s="234"/>
      <c r="AT4" s="234"/>
      <c r="AU4" s="233"/>
      <c r="AV4" s="233"/>
      <c r="AW4" s="233"/>
      <c r="AX4" s="242"/>
      <c r="AY4" s="220"/>
      <c r="AZ4" s="220"/>
      <c r="BA4" s="220"/>
      <c r="BB4" s="220"/>
      <c r="BC4" s="220"/>
      <c r="BD4" s="220"/>
      <c r="BE4" s="221"/>
      <c r="BF4" s="221"/>
      <c r="BG4" s="221"/>
      <c r="BH4" s="221"/>
      <c r="BI4" s="221"/>
      <c r="BJ4" s="221"/>
      <c r="BK4" s="221"/>
      <c r="BL4" s="255"/>
    </row>
    <row r="5" spans="1:64" x14ac:dyDescent="0.2">
      <c r="A5" s="254"/>
      <c r="B5" s="221"/>
      <c r="C5" s="221"/>
      <c r="D5" s="221"/>
      <c r="E5" s="221"/>
      <c r="F5" s="221"/>
      <c r="G5" s="221"/>
      <c r="H5" s="221"/>
      <c r="I5" s="244"/>
      <c r="J5" s="245"/>
      <c r="K5" s="245"/>
      <c r="L5" s="245"/>
      <c r="M5" s="246"/>
      <c r="N5" s="246"/>
      <c r="O5" s="246"/>
      <c r="P5" s="247"/>
      <c r="Q5" s="222"/>
      <c r="R5" s="222"/>
      <c r="S5" s="239"/>
      <c r="T5" s="234"/>
      <c r="U5" s="234"/>
      <c r="V5" s="234"/>
      <c r="W5" s="234"/>
      <c r="X5" s="233"/>
      <c r="Y5" s="233"/>
      <c r="Z5" s="233"/>
      <c r="AA5" s="233"/>
      <c r="AB5" s="242"/>
      <c r="AC5" s="220"/>
      <c r="AD5" s="220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39"/>
      <c r="AR5" s="234"/>
      <c r="AS5" s="234"/>
      <c r="AT5" s="234"/>
      <c r="AU5" s="233"/>
      <c r="AV5" s="233"/>
      <c r="AW5" s="233"/>
      <c r="AX5" s="242"/>
      <c r="AY5" s="220"/>
      <c r="AZ5" s="220"/>
      <c r="BA5" s="220"/>
      <c r="BB5" s="220"/>
      <c r="BC5" s="220"/>
      <c r="BD5" s="220"/>
      <c r="BE5" s="221"/>
      <c r="BF5" s="221"/>
      <c r="BG5" s="221"/>
      <c r="BH5" s="221"/>
      <c r="BI5" s="221"/>
      <c r="BJ5" s="221"/>
      <c r="BK5" s="221"/>
      <c r="BL5" s="255"/>
    </row>
    <row r="6" spans="1:64" x14ac:dyDescent="0.2">
      <c r="A6" s="254"/>
      <c r="B6" s="221"/>
      <c r="C6" s="221"/>
      <c r="D6" s="221"/>
      <c r="E6" s="221"/>
      <c r="F6" s="221"/>
      <c r="G6" s="221"/>
      <c r="H6" s="221"/>
      <c r="I6" s="238"/>
      <c r="J6" s="233"/>
      <c r="K6" s="233"/>
      <c r="L6" s="233"/>
      <c r="M6" s="234"/>
      <c r="N6" s="234"/>
      <c r="O6" s="234"/>
      <c r="P6" s="241"/>
      <c r="Q6" s="222"/>
      <c r="R6" s="222"/>
      <c r="S6" s="239"/>
      <c r="T6" s="234"/>
      <c r="U6" s="234"/>
      <c r="V6" s="234"/>
      <c r="W6" s="234"/>
      <c r="X6" s="233"/>
      <c r="Y6" s="233"/>
      <c r="Z6" s="233"/>
      <c r="AA6" s="233"/>
      <c r="AB6" s="242"/>
      <c r="AC6" s="220"/>
      <c r="AD6" s="220"/>
      <c r="AE6" s="221"/>
      <c r="AF6" s="221"/>
      <c r="AG6" s="244"/>
      <c r="AH6" s="245"/>
      <c r="AI6" s="245"/>
      <c r="AJ6" s="245"/>
      <c r="AK6" s="246"/>
      <c r="AL6" s="246"/>
      <c r="AM6" s="246"/>
      <c r="AN6" s="247"/>
      <c r="AO6" s="221"/>
      <c r="AP6" s="221"/>
      <c r="AQ6" s="240"/>
      <c r="AR6" s="237"/>
      <c r="AS6" s="231"/>
      <c r="AT6" s="240"/>
      <c r="AU6" s="235"/>
      <c r="AV6" s="235"/>
      <c r="AW6" s="235"/>
      <c r="AX6" s="243"/>
      <c r="AY6" s="220"/>
      <c r="AZ6" s="220"/>
      <c r="BA6" s="220"/>
      <c r="BB6" s="220"/>
      <c r="BC6" s="220"/>
      <c r="BD6" s="220"/>
      <c r="BE6" s="221"/>
      <c r="BF6" s="221"/>
      <c r="BG6" s="221"/>
      <c r="BH6" s="221"/>
      <c r="BI6" s="221"/>
      <c r="BJ6" s="221"/>
      <c r="BK6" s="221"/>
      <c r="BL6" s="255"/>
    </row>
    <row r="7" spans="1:64" x14ac:dyDescent="0.2">
      <c r="A7" s="254"/>
      <c r="B7" s="221"/>
      <c r="C7" s="221"/>
      <c r="D7" s="221"/>
      <c r="E7" s="221"/>
      <c r="F7" s="221"/>
      <c r="G7" s="221"/>
      <c r="H7" s="221"/>
      <c r="I7" s="238"/>
      <c r="J7" s="233"/>
      <c r="K7" s="233"/>
      <c r="L7" s="233"/>
      <c r="M7" s="234"/>
      <c r="N7" s="234"/>
      <c r="O7" s="234"/>
      <c r="P7" s="241"/>
      <c r="Q7" s="222"/>
      <c r="R7" s="222"/>
      <c r="S7" s="239"/>
      <c r="T7" s="234"/>
      <c r="U7" s="234"/>
      <c r="V7" s="234"/>
      <c r="W7" s="234"/>
      <c r="X7" s="233"/>
      <c r="Y7" s="233"/>
      <c r="Z7" s="233"/>
      <c r="AA7" s="233"/>
      <c r="AB7" s="242"/>
      <c r="AC7" s="220"/>
      <c r="AD7" s="220"/>
      <c r="AE7" s="221"/>
      <c r="AF7" s="221"/>
      <c r="AG7" s="238"/>
      <c r="AH7" s="233"/>
      <c r="AI7" s="233"/>
      <c r="AJ7" s="233"/>
      <c r="AK7" s="234"/>
      <c r="AL7" s="234"/>
      <c r="AM7" s="234"/>
      <c r="AN7" s="241"/>
      <c r="AO7" s="221"/>
      <c r="AP7" s="221"/>
      <c r="AQ7" s="227"/>
      <c r="AR7" s="227"/>
      <c r="AS7" s="227"/>
      <c r="AT7" s="227"/>
      <c r="AU7" s="227"/>
      <c r="AV7" s="227"/>
      <c r="AW7" s="227"/>
      <c r="AX7" s="227"/>
      <c r="AY7" s="227"/>
      <c r="AZ7" s="227"/>
      <c r="BA7" s="227"/>
      <c r="BB7" s="227"/>
      <c r="BC7" s="227"/>
      <c r="BD7" s="227"/>
      <c r="BE7" s="221"/>
      <c r="BF7" s="221"/>
      <c r="BG7" s="221"/>
      <c r="BH7" s="221"/>
      <c r="BI7" s="221"/>
      <c r="BJ7" s="221"/>
      <c r="BK7" s="221"/>
      <c r="BL7" s="255"/>
    </row>
    <row r="8" spans="1:64" x14ac:dyDescent="0.2">
      <c r="A8" s="254"/>
      <c r="B8" s="221"/>
      <c r="C8" s="221"/>
      <c r="D8" s="221"/>
      <c r="E8" s="221"/>
      <c r="F8" s="221"/>
      <c r="G8" s="221"/>
      <c r="H8" s="221"/>
      <c r="I8" s="239"/>
      <c r="J8" s="234"/>
      <c r="K8" s="234"/>
      <c r="L8" s="234"/>
      <c r="M8" s="233"/>
      <c r="N8" s="233"/>
      <c r="O8" s="233"/>
      <c r="P8" s="242"/>
      <c r="Q8" s="222"/>
      <c r="R8" s="222"/>
      <c r="S8" s="240"/>
      <c r="T8" s="236"/>
      <c r="U8" s="236"/>
      <c r="V8" s="237"/>
      <c r="W8" s="230"/>
      <c r="X8" s="232"/>
      <c r="Y8" s="235"/>
      <c r="Z8" s="235"/>
      <c r="AA8" s="235"/>
      <c r="AB8" s="243"/>
      <c r="AC8" s="220"/>
      <c r="AD8" s="220"/>
      <c r="AE8" s="221"/>
      <c r="AF8" s="221"/>
      <c r="AG8" s="238"/>
      <c r="AH8" s="233"/>
      <c r="AI8" s="233"/>
      <c r="AJ8" s="233"/>
      <c r="AK8" s="234"/>
      <c r="AL8" s="234"/>
      <c r="AM8" s="234"/>
      <c r="AN8" s="241"/>
      <c r="AO8" s="221"/>
      <c r="AP8" s="221"/>
      <c r="AQ8" s="227"/>
      <c r="AR8" s="227"/>
      <c r="AS8" s="227"/>
      <c r="AT8" s="227"/>
      <c r="AU8" s="227"/>
      <c r="AV8" s="227"/>
      <c r="AW8" s="227"/>
      <c r="AX8" s="227"/>
      <c r="AY8" s="227"/>
      <c r="AZ8" s="227"/>
      <c r="BA8" s="227"/>
      <c r="BB8" s="227"/>
      <c r="BC8" s="227"/>
      <c r="BD8" s="227"/>
      <c r="BE8" s="221"/>
      <c r="BF8" s="221"/>
      <c r="BG8" s="221"/>
      <c r="BH8" s="221"/>
      <c r="BI8" s="221"/>
      <c r="BJ8" s="221"/>
      <c r="BK8" s="221"/>
      <c r="BL8" s="255"/>
    </row>
    <row r="9" spans="1:64" x14ac:dyDescent="0.2">
      <c r="A9" s="254"/>
      <c r="B9" s="221"/>
      <c r="C9" s="221"/>
      <c r="D9" s="221"/>
      <c r="E9" s="221"/>
      <c r="F9" s="221"/>
      <c r="G9" s="221"/>
      <c r="H9" s="221"/>
      <c r="I9" s="239"/>
      <c r="J9" s="234"/>
      <c r="K9" s="234"/>
      <c r="L9" s="234"/>
      <c r="M9" s="233"/>
      <c r="N9" s="233"/>
      <c r="O9" s="233"/>
      <c r="P9" s="242"/>
      <c r="Q9" s="222"/>
      <c r="R9" s="222"/>
      <c r="S9" s="220"/>
      <c r="T9" s="220"/>
      <c r="U9" s="220"/>
      <c r="V9" s="220"/>
      <c r="W9" s="227"/>
      <c r="X9" s="227"/>
      <c r="Y9" s="220"/>
      <c r="Z9" s="220"/>
      <c r="AA9" s="220"/>
      <c r="AB9" s="220"/>
      <c r="AC9" s="220"/>
      <c r="AD9" s="220"/>
      <c r="AE9" s="221"/>
      <c r="AF9" s="221"/>
      <c r="AG9" s="239"/>
      <c r="AH9" s="234"/>
      <c r="AI9" s="234"/>
      <c r="AJ9" s="234"/>
      <c r="AK9" s="233"/>
      <c r="AL9" s="233"/>
      <c r="AM9" s="233"/>
      <c r="AN9" s="242"/>
      <c r="AO9" s="221"/>
      <c r="AP9" s="221"/>
      <c r="AQ9" s="221"/>
      <c r="AR9" s="221"/>
      <c r="AS9" s="221"/>
      <c r="AT9" s="221"/>
      <c r="AU9" s="221"/>
      <c r="AV9" s="221"/>
      <c r="AW9" s="225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  <c r="BJ9" s="221"/>
      <c r="BK9" s="221"/>
      <c r="BL9" s="255"/>
    </row>
    <row r="10" spans="1:64" x14ac:dyDescent="0.2">
      <c r="A10" s="254"/>
      <c r="B10" s="221"/>
      <c r="C10" s="221"/>
      <c r="D10" s="221"/>
      <c r="E10" s="221"/>
      <c r="F10" s="221"/>
      <c r="G10" s="221"/>
      <c r="H10" s="221"/>
      <c r="I10" s="240"/>
      <c r="J10" s="237"/>
      <c r="K10" s="231"/>
      <c r="L10" s="240"/>
      <c r="M10" s="235"/>
      <c r="N10" s="235"/>
      <c r="O10" s="235"/>
      <c r="P10" s="243"/>
      <c r="Q10" s="222"/>
      <c r="R10" s="222"/>
      <c r="S10" s="220"/>
      <c r="T10" s="220"/>
      <c r="U10" s="220"/>
      <c r="V10" s="220"/>
      <c r="W10" s="227"/>
      <c r="X10" s="227"/>
      <c r="Y10" s="220"/>
      <c r="Z10" s="220"/>
      <c r="AA10" s="220"/>
      <c r="AB10" s="220"/>
      <c r="AC10" s="220"/>
      <c r="AD10" s="220"/>
      <c r="AE10" s="220"/>
      <c r="AF10" s="220"/>
      <c r="AG10" s="239"/>
      <c r="AH10" s="234"/>
      <c r="AI10" s="234"/>
      <c r="AJ10" s="234"/>
      <c r="AK10" s="233"/>
      <c r="AL10" s="233"/>
      <c r="AM10" s="233"/>
      <c r="AN10" s="242"/>
      <c r="AO10" s="221"/>
      <c r="AP10" s="221"/>
      <c r="AQ10" s="221"/>
      <c r="AR10" s="221"/>
      <c r="AS10" s="221"/>
      <c r="AT10" s="221"/>
      <c r="AU10" s="226"/>
      <c r="AV10" s="226"/>
      <c r="AW10" s="226"/>
      <c r="AX10" s="226"/>
      <c r="AY10" s="226"/>
      <c r="AZ10" s="226"/>
      <c r="BA10" s="226"/>
      <c r="BB10" s="226"/>
      <c r="BC10" s="221"/>
      <c r="BD10" s="221"/>
      <c r="BE10" s="221"/>
      <c r="BF10" s="221"/>
      <c r="BG10" s="221"/>
      <c r="BH10" s="221"/>
      <c r="BI10" s="221"/>
      <c r="BJ10" s="221"/>
      <c r="BK10" s="221"/>
      <c r="BL10" s="255"/>
    </row>
    <row r="11" spans="1:64" x14ac:dyDescent="0.2">
      <c r="A11" s="254"/>
      <c r="B11" s="221"/>
      <c r="C11" s="221"/>
      <c r="D11" s="221"/>
      <c r="E11" s="221"/>
      <c r="F11" s="221"/>
      <c r="G11" s="220"/>
      <c r="H11" s="220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  <c r="U11" s="227"/>
      <c r="V11" s="227"/>
      <c r="W11" s="227"/>
      <c r="X11" s="227"/>
      <c r="Y11" s="227"/>
      <c r="Z11" s="227"/>
      <c r="AA11" s="227"/>
      <c r="AB11" s="227"/>
      <c r="AC11" s="227"/>
      <c r="AD11" s="220"/>
      <c r="AE11" s="220"/>
      <c r="AF11" s="220"/>
      <c r="AG11" s="240"/>
      <c r="AH11" s="237"/>
      <c r="AI11" s="231"/>
      <c r="AJ11" s="240"/>
      <c r="AK11" s="235"/>
      <c r="AL11" s="235"/>
      <c r="AM11" s="235"/>
      <c r="AN11" s="243"/>
      <c r="AO11" s="221"/>
      <c r="AP11" s="221"/>
      <c r="AQ11" s="221"/>
      <c r="AR11" s="221"/>
      <c r="AS11" s="226"/>
      <c r="AT11" s="226"/>
      <c r="AU11" s="226"/>
      <c r="AV11" s="226"/>
      <c r="AW11" s="226"/>
      <c r="AX11" s="226"/>
      <c r="AY11" s="226"/>
      <c r="AZ11" s="226"/>
      <c r="BA11" s="226"/>
      <c r="BB11" s="226"/>
      <c r="BC11" s="221"/>
      <c r="BD11" s="221"/>
      <c r="BE11" s="221"/>
      <c r="BF11" s="221"/>
      <c r="BG11" s="221"/>
      <c r="BH11" s="221"/>
      <c r="BI11" s="221"/>
      <c r="BJ11" s="221"/>
      <c r="BK11" s="221"/>
      <c r="BL11" s="255"/>
    </row>
    <row r="12" spans="1:64" x14ac:dyDescent="0.2">
      <c r="A12" s="254"/>
      <c r="B12" s="221"/>
      <c r="C12" s="221"/>
      <c r="D12" s="221"/>
      <c r="E12" s="221"/>
      <c r="F12" s="221"/>
      <c r="G12" s="220"/>
      <c r="H12" s="220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122"/>
      <c r="AB12" s="227"/>
      <c r="AC12" s="227"/>
      <c r="AD12" s="227"/>
      <c r="AE12" s="220"/>
      <c r="AF12" s="220"/>
      <c r="AG12" s="220"/>
      <c r="AH12" s="227"/>
      <c r="AI12" s="227"/>
      <c r="AJ12" s="220"/>
      <c r="AK12" s="220"/>
      <c r="AL12" s="220"/>
      <c r="AM12" s="220"/>
      <c r="AN12" s="220"/>
      <c r="AO12" s="221"/>
      <c r="AP12" s="221"/>
      <c r="AQ12" s="221"/>
      <c r="AR12" s="221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1"/>
      <c r="BF12" s="221"/>
      <c r="BG12" s="221"/>
      <c r="BH12" s="221"/>
      <c r="BI12" s="221"/>
      <c r="BJ12" s="221"/>
      <c r="BK12" s="221"/>
      <c r="BL12" s="255"/>
    </row>
    <row r="13" spans="1:64" x14ac:dyDescent="0.2">
      <c r="A13" s="254"/>
      <c r="B13" s="221"/>
      <c r="C13" s="221"/>
      <c r="D13" s="221"/>
      <c r="E13" s="221"/>
      <c r="F13" s="221"/>
      <c r="G13" s="227"/>
      <c r="H13" s="227"/>
      <c r="I13" s="227"/>
      <c r="J13" s="227"/>
      <c r="K13" s="220"/>
      <c r="L13" s="220"/>
      <c r="M13" s="220"/>
      <c r="N13" s="220"/>
      <c r="O13" s="220"/>
      <c r="P13" s="220"/>
      <c r="Q13" s="220"/>
      <c r="R13" s="220"/>
      <c r="S13" s="227"/>
      <c r="T13" s="227"/>
      <c r="U13" s="227"/>
      <c r="V13" s="220"/>
      <c r="W13" s="220"/>
      <c r="X13" s="220"/>
      <c r="Y13" s="220"/>
      <c r="Z13" s="220"/>
      <c r="AA13" s="220"/>
      <c r="AB13" s="227"/>
      <c r="AC13" s="227"/>
      <c r="AD13" s="227"/>
      <c r="AE13" s="220"/>
      <c r="AF13" s="220"/>
      <c r="AG13" s="220"/>
      <c r="AH13" s="227"/>
      <c r="AI13" s="227"/>
      <c r="AJ13" s="220"/>
      <c r="AK13" s="220"/>
      <c r="AL13" s="220"/>
      <c r="AM13" s="220"/>
      <c r="AN13" s="122"/>
      <c r="AO13" s="221"/>
      <c r="AP13" s="221"/>
      <c r="AQ13" s="221"/>
      <c r="AR13" s="221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1"/>
      <c r="BF13" s="221"/>
      <c r="BG13" s="221"/>
      <c r="BH13" s="221"/>
      <c r="BI13" s="221"/>
      <c r="BJ13" s="221"/>
      <c r="BK13" s="221"/>
      <c r="BL13" s="255"/>
    </row>
    <row r="14" spans="1:64" x14ac:dyDescent="0.2">
      <c r="A14" s="254"/>
      <c r="B14" s="221"/>
      <c r="C14" s="221"/>
      <c r="D14" s="221"/>
      <c r="E14" s="221"/>
      <c r="F14" s="221"/>
      <c r="G14" s="227"/>
      <c r="H14" s="227"/>
      <c r="I14" s="227"/>
      <c r="J14" s="122"/>
      <c r="K14" s="220"/>
      <c r="L14" s="220"/>
      <c r="M14" s="220"/>
      <c r="N14" s="220"/>
      <c r="O14" s="220"/>
      <c r="P14" s="220"/>
      <c r="Q14" s="220"/>
      <c r="R14" s="220"/>
      <c r="S14" s="227"/>
      <c r="T14" s="227"/>
      <c r="U14" s="220"/>
      <c r="V14" s="220"/>
      <c r="W14" s="220"/>
      <c r="X14" s="220"/>
      <c r="Y14" s="220"/>
      <c r="Z14" s="220"/>
      <c r="AA14" s="220"/>
      <c r="AB14" s="220"/>
      <c r="AC14" s="227"/>
      <c r="AD14" s="227"/>
      <c r="AE14" s="227"/>
      <c r="AF14" s="227"/>
      <c r="AG14" s="227"/>
      <c r="AH14" s="227"/>
      <c r="AI14" s="227"/>
      <c r="AJ14" s="227"/>
      <c r="AK14" s="227"/>
      <c r="AL14" s="227"/>
      <c r="AM14" s="227"/>
      <c r="AN14" s="227"/>
      <c r="AO14" s="227"/>
      <c r="AP14" s="227"/>
      <c r="AQ14" s="227"/>
      <c r="AR14" s="227"/>
      <c r="AS14" s="227"/>
      <c r="AT14" s="227"/>
      <c r="AU14" s="227"/>
      <c r="AV14" s="227"/>
      <c r="AW14" s="227"/>
      <c r="AX14" s="227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1"/>
      <c r="BJ14" s="221"/>
      <c r="BK14" s="221"/>
      <c r="BL14" s="255"/>
    </row>
    <row r="15" spans="1:64" x14ac:dyDescent="0.2">
      <c r="A15" s="254"/>
      <c r="B15" s="221"/>
      <c r="C15" s="221"/>
      <c r="D15" s="221"/>
      <c r="E15" s="221"/>
      <c r="F15" s="221"/>
      <c r="G15" s="227"/>
      <c r="H15" s="227"/>
      <c r="I15" s="244"/>
      <c r="J15" s="245"/>
      <c r="K15" s="245"/>
      <c r="L15" s="245"/>
      <c r="M15" s="246"/>
      <c r="N15" s="246"/>
      <c r="O15" s="246"/>
      <c r="P15" s="247"/>
      <c r="Q15" s="220"/>
      <c r="R15" s="220"/>
      <c r="S15" s="227"/>
      <c r="T15" s="227"/>
      <c r="U15" s="220"/>
      <c r="V15" s="220"/>
      <c r="W15" s="220"/>
      <c r="X15" s="220"/>
      <c r="Y15" s="220"/>
      <c r="Z15" s="220"/>
      <c r="AA15" s="220"/>
      <c r="AB15" s="220"/>
      <c r="AC15" s="227"/>
      <c r="AD15" s="227"/>
      <c r="AE15" s="227"/>
      <c r="AF15" s="227"/>
      <c r="AG15" s="227"/>
      <c r="AH15" s="227"/>
      <c r="AI15" s="227"/>
      <c r="AJ15" s="227"/>
      <c r="AK15" s="227"/>
      <c r="AL15" s="227"/>
      <c r="AM15" s="227"/>
      <c r="AN15" s="227"/>
      <c r="AO15" s="227"/>
      <c r="AP15" s="227"/>
      <c r="AQ15" s="227"/>
      <c r="AR15" s="227"/>
      <c r="AS15" s="227"/>
      <c r="AT15" s="227"/>
      <c r="AU15" s="227"/>
      <c r="AV15" s="227"/>
      <c r="AW15" s="227"/>
      <c r="AX15" s="227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1"/>
      <c r="BJ15" s="221"/>
      <c r="BK15" s="221"/>
      <c r="BL15" s="255"/>
    </row>
    <row r="16" spans="1:64" x14ac:dyDescent="0.2">
      <c r="A16" s="254"/>
      <c r="B16" s="221"/>
      <c r="C16" s="221"/>
      <c r="D16" s="221"/>
      <c r="E16" s="221"/>
      <c r="F16" s="221"/>
      <c r="G16" s="227"/>
      <c r="H16" s="227"/>
      <c r="I16" s="238"/>
      <c r="J16" s="233"/>
      <c r="K16" s="233"/>
      <c r="L16" s="233"/>
      <c r="M16" s="234"/>
      <c r="N16" s="234"/>
      <c r="O16" s="234"/>
      <c r="P16" s="241"/>
      <c r="Q16" s="220"/>
      <c r="R16" s="220"/>
      <c r="S16" s="227"/>
      <c r="T16" s="227"/>
      <c r="U16" s="227"/>
      <c r="V16" s="220"/>
      <c r="W16" s="220"/>
      <c r="X16" s="220"/>
      <c r="Y16" s="220"/>
      <c r="Z16" s="220"/>
      <c r="AA16" s="220"/>
      <c r="AB16" s="227"/>
      <c r="AC16" s="227"/>
      <c r="AD16" s="227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1"/>
      <c r="AP16" s="221"/>
      <c r="AQ16" s="221"/>
      <c r="AR16" s="221"/>
      <c r="AS16" s="226"/>
      <c r="AT16" s="226"/>
      <c r="AU16" s="226"/>
      <c r="AV16" s="226"/>
      <c r="AW16" s="227"/>
      <c r="AX16" s="227"/>
      <c r="AY16" s="227"/>
      <c r="AZ16" s="227"/>
      <c r="BA16" s="227"/>
      <c r="BB16" s="227"/>
      <c r="BC16" s="227"/>
      <c r="BD16" s="227"/>
      <c r="BE16" s="226"/>
      <c r="BF16" s="226"/>
      <c r="BG16" s="226"/>
      <c r="BH16" s="226"/>
      <c r="BI16" s="226"/>
      <c r="BJ16" s="226"/>
      <c r="BK16" s="221"/>
      <c r="BL16" s="255"/>
    </row>
    <row r="17" spans="1:64" x14ac:dyDescent="0.2">
      <c r="A17" s="254"/>
      <c r="B17" s="221"/>
      <c r="C17" s="221"/>
      <c r="D17" s="221"/>
      <c r="E17" s="221"/>
      <c r="F17" s="221"/>
      <c r="G17" s="227"/>
      <c r="H17" s="227"/>
      <c r="I17" s="238"/>
      <c r="J17" s="233"/>
      <c r="K17" s="233"/>
      <c r="L17" s="233"/>
      <c r="M17" s="234"/>
      <c r="N17" s="234"/>
      <c r="O17" s="234"/>
      <c r="P17" s="241"/>
      <c r="Q17" s="220"/>
      <c r="R17" s="220"/>
      <c r="S17" s="227"/>
      <c r="T17" s="227"/>
      <c r="U17" s="227"/>
      <c r="V17" s="227"/>
      <c r="W17" s="227"/>
      <c r="X17" s="227"/>
      <c r="Y17" s="227"/>
      <c r="Z17" s="227"/>
      <c r="AA17" s="227"/>
      <c r="AB17" s="227"/>
      <c r="AC17" s="227"/>
      <c r="AD17" s="227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1"/>
      <c r="AP17" s="221"/>
      <c r="AQ17" s="221"/>
      <c r="AR17" s="221"/>
      <c r="AS17" s="226"/>
      <c r="AT17" s="226"/>
      <c r="AU17" s="226"/>
      <c r="AV17" s="226"/>
      <c r="AW17" s="227"/>
      <c r="AX17" s="227"/>
      <c r="AY17" s="227"/>
      <c r="AZ17" s="227"/>
      <c r="BA17" s="227"/>
      <c r="BB17" s="227"/>
      <c r="BC17" s="227"/>
      <c r="BD17" s="227"/>
      <c r="BE17" s="226"/>
      <c r="BF17" s="226"/>
      <c r="BG17" s="226"/>
      <c r="BH17" s="226"/>
      <c r="BI17" s="226"/>
      <c r="BJ17" s="226"/>
      <c r="BK17" s="221"/>
      <c r="BL17" s="255"/>
    </row>
    <row r="18" spans="1:64" x14ac:dyDescent="0.2">
      <c r="A18" s="254"/>
      <c r="B18" s="221"/>
      <c r="C18" s="221"/>
      <c r="D18" s="221"/>
      <c r="E18" s="221"/>
      <c r="F18" s="221"/>
      <c r="G18" s="227"/>
      <c r="H18" s="227"/>
      <c r="I18" s="239"/>
      <c r="J18" s="234"/>
      <c r="K18" s="234"/>
      <c r="L18" s="234"/>
      <c r="M18" s="233"/>
      <c r="N18" s="233"/>
      <c r="O18" s="233"/>
      <c r="P18" s="242"/>
      <c r="Q18" s="220"/>
      <c r="R18" s="220"/>
      <c r="S18" s="220"/>
      <c r="T18" s="227"/>
      <c r="U18" s="227"/>
      <c r="V18" s="227"/>
      <c r="W18" s="227"/>
      <c r="X18" s="227"/>
      <c r="Y18" s="227"/>
      <c r="Z18" s="227"/>
      <c r="AA18" s="227"/>
      <c r="AB18" s="227"/>
      <c r="AC18" s="227"/>
      <c r="AD18" s="227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1"/>
      <c r="AP18" s="221"/>
      <c r="AQ18" s="221"/>
      <c r="AR18" s="221"/>
      <c r="AS18" s="221"/>
      <c r="AT18" s="221"/>
      <c r="AU18" s="226"/>
      <c r="AV18" s="226"/>
      <c r="AW18" s="226"/>
      <c r="AX18" s="226"/>
      <c r="AY18" s="226"/>
      <c r="AZ18" s="226"/>
      <c r="BA18" s="226"/>
      <c r="BB18" s="226"/>
      <c r="BC18" s="227"/>
      <c r="BD18" s="227"/>
      <c r="BE18" s="227"/>
      <c r="BF18" s="227"/>
      <c r="BG18" s="227"/>
      <c r="BH18" s="227"/>
      <c r="BI18" s="227"/>
      <c r="BJ18" s="227"/>
      <c r="BK18" s="227"/>
      <c r="BL18" s="229"/>
    </row>
    <row r="19" spans="1:64" x14ac:dyDescent="0.2">
      <c r="A19" s="254"/>
      <c r="B19" s="221"/>
      <c r="C19" s="221"/>
      <c r="D19" s="221"/>
      <c r="E19" s="221"/>
      <c r="F19" s="221"/>
      <c r="G19" s="227"/>
      <c r="H19" s="227"/>
      <c r="I19" s="239"/>
      <c r="J19" s="234"/>
      <c r="K19" s="234"/>
      <c r="L19" s="234"/>
      <c r="M19" s="233"/>
      <c r="N19" s="233"/>
      <c r="O19" s="233"/>
      <c r="P19" s="242"/>
      <c r="Q19" s="220"/>
      <c r="R19" s="220"/>
      <c r="S19" s="244"/>
      <c r="T19" s="245"/>
      <c r="U19" s="245"/>
      <c r="V19" s="245"/>
      <c r="W19" s="246"/>
      <c r="X19" s="246"/>
      <c r="Y19" s="246"/>
      <c r="Z19" s="247"/>
      <c r="AA19" s="220"/>
      <c r="AB19" s="220"/>
      <c r="AC19" s="227"/>
      <c r="AD19" s="227"/>
      <c r="AE19" s="244"/>
      <c r="AF19" s="245"/>
      <c r="AG19" s="245"/>
      <c r="AH19" s="245"/>
      <c r="AI19" s="246"/>
      <c r="AJ19" s="246"/>
      <c r="AK19" s="246"/>
      <c r="AL19" s="247"/>
      <c r="AM19" s="220"/>
      <c r="AN19" s="220"/>
      <c r="AO19" s="221"/>
      <c r="AP19" s="221"/>
      <c r="AQ19" s="221"/>
      <c r="AR19" s="221"/>
      <c r="AS19" s="221"/>
      <c r="AT19" s="221"/>
      <c r="AU19" s="226"/>
      <c r="AV19" s="226"/>
      <c r="AW19" s="226"/>
      <c r="AX19" s="226"/>
      <c r="AY19" s="226"/>
      <c r="AZ19" s="226"/>
      <c r="BA19" s="226"/>
      <c r="BB19" s="226"/>
      <c r="BC19" s="227"/>
      <c r="BD19" s="227"/>
      <c r="BE19" s="227"/>
      <c r="BF19" s="227"/>
      <c r="BG19" s="227"/>
      <c r="BH19" s="227"/>
      <c r="BI19" s="227"/>
      <c r="BJ19" s="227"/>
      <c r="BK19" s="227"/>
      <c r="BL19" s="229"/>
    </row>
    <row r="20" spans="1:64" x14ac:dyDescent="0.2">
      <c r="A20" s="254"/>
      <c r="B20" s="221"/>
      <c r="C20" s="221"/>
      <c r="D20" s="221"/>
      <c r="E20" s="221"/>
      <c r="F20" s="221"/>
      <c r="G20" s="227"/>
      <c r="H20" s="227"/>
      <c r="I20" s="240"/>
      <c r="J20" s="237"/>
      <c r="K20" s="231"/>
      <c r="L20" s="240"/>
      <c r="M20" s="235"/>
      <c r="N20" s="235"/>
      <c r="O20" s="235"/>
      <c r="P20" s="243"/>
      <c r="Q20" s="220"/>
      <c r="R20" s="220"/>
      <c r="S20" s="238"/>
      <c r="T20" s="233"/>
      <c r="U20" s="233"/>
      <c r="V20" s="233"/>
      <c r="W20" s="234"/>
      <c r="X20" s="234"/>
      <c r="Y20" s="234"/>
      <c r="Z20" s="241"/>
      <c r="AA20" s="220"/>
      <c r="AB20" s="220"/>
      <c r="AC20" s="227"/>
      <c r="AD20" s="227"/>
      <c r="AE20" s="238"/>
      <c r="AF20" s="233"/>
      <c r="AG20" s="233"/>
      <c r="AH20" s="233"/>
      <c r="AI20" s="234"/>
      <c r="AJ20" s="234"/>
      <c r="AK20" s="234"/>
      <c r="AL20" s="241"/>
      <c r="AM20" s="220"/>
      <c r="AN20" s="220"/>
      <c r="AO20" s="221"/>
      <c r="AP20" s="221"/>
      <c r="AQ20" s="221"/>
      <c r="AR20" s="221"/>
      <c r="AS20" s="221"/>
      <c r="AT20" s="221"/>
      <c r="AU20" s="221"/>
      <c r="AV20" s="221"/>
      <c r="AW20" s="221"/>
      <c r="AX20" s="221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55"/>
    </row>
    <row r="21" spans="1:64" x14ac:dyDescent="0.2">
      <c r="A21" s="254"/>
      <c r="B21" s="221"/>
      <c r="C21" s="221"/>
      <c r="D21" s="221"/>
      <c r="E21" s="221"/>
      <c r="F21" s="221"/>
      <c r="G21" s="227"/>
      <c r="H21" s="227"/>
      <c r="I21" s="227"/>
      <c r="J21" s="227"/>
      <c r="K21" s="227"/>
      <c r="L21" s="227"/>
      <c r="M21" s="227"/>
      <c r="N21" s="227"/>
      <c r="O21" s="220"/>
      <c r="P21" s="220"/>
      <c r="Q21" s="220"/>
      <c r="R21" s="220"/>
      <c r="S21" s="238"/>
      <c r="T21" s="233"/>
      <c r="U21" s="233"/>
      <c r="V21" s="233"/>
      <c r="W21" s="234"/>
      <c r="X21" s="234"/>
      <c r="Y21" s="234"/>
      <c r="Z21" s="241"/>
      <c r="AA21" s="220"/>
      <c r="AB21" s="220"/>
      <c r="AC21" s="227"/>
      <c r="AD21" s="227"/>
      <c r="AE21" s="238"/>
      <c r="AF21" s="233"/>
      <c r="AG21" s="233"/>
      <c r="AH21" s="233"/>
      <c r="AI21" s="234"/>
      <c r="AJ21" s="234"/>
      <c r="AK21" s="234"/>
      <c r="AL21" s="241"/>
      <c r="AM21" s="220"/>
      <c r="AN21" s="220"/>
      <c r="AO21" s="221"/>
      <c r="AP21" s="221"/>
      <c r="AQ21" s="221"/>
      <c r="AR21" s="221"/>
      <c r="AS21" s="221"/>
      <c r="AT21" s="221"/>
      <c r="AU21" s="221"/>
      <c r="AV21" s="221"/>
      <c r="AW21" s="221"/>
      <c r="AX21" s="221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55"/>
    </row>
    <row r="22" spans="1:64" x14ac:dyDescent="0.2">
      <c r="A22" s="254"/>
      <c r="B22" s="221"/>
      <c r="C22" s="221"/>
      <c r="D22" s="221"/>
      <c r="E22" s="221"/>
      <c r="F22" s="221"/>
      <c r="G22" s="227"/>
      <c r="H22" s="227"/>
      <c r="I22" s="227"/>
      <c r="J22" s="227"/>
      <c r="K22" s="227"/>
      <c r="L22" s="227"/>
      <c r="M22" s="227"/>
      <c r="N22" s="227"/>
      <c r="O22" s="227"/>
      <c r="P22" s="220"/>
      <c r="Q22" s="220"/>
      <c r="R22" s="220"/>
      <c r="S22" s="239"/>
      <c r="T22" s="234"/>
      <c r="U22" s="234"/>
      <c r="V22" s="234"/>
      <c r="W22" s="233"/>
      <c r="X22" s="233"/>
      <c r="Y22" s="233"/>
      <c r="Z22" s="242"/>
      <c r="AA22" s="220"/>
      <c r="AB22" s="220"/>
      <c r="AC22" s="227"/>
      <c r="AD22" s="227"/>
      <c r="AE22" s="239"/>
      <c r="AF22" s="234"/>
      <c r="AG22" s="234"/>
      <c r="AH22" s="234"/>
      <c r="AI22" s="233"/>
      <c r="AJ22" s="233"/>
      <c r="AK22" s="233"/>
      <c r="AL22" s="242"/>
      <c r="AM22" s="220"/>
      <c r="AN22" s="220"/>
      <c r="AO22" s="221"/>
      <c r="AP22" s="221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J22" s="221"/>
      <c r="BK22" s="221"/>
      <c r="BL22" s="255"/>
    </row>
    <row r="23" spans="1:64" x14ac:dyDescent="0.2">
      <c r="A23" s="254"/>
      <c r="B23" s="221"/>
      <c r="C23" s="221"/>
      <c r="D23" s="221"/>
      <c r="E23" s="221"/>
      <c r="F23" s="221"/>
      <c r="G23" s="220"/>
      <c r="H23" s="220"/>
      <c r="I23" s="220"/>
      <c r="J23" s="220"/>
      <c r="K23" s="220"/>
      <c r="L23" s="220"/>
      <c r="M23" s="220"/>
      <c r="N23" s="227"/>
      <c r="O23" s="227"/>
      <c r="P23" s="227"/>
      <c r="Q23" s="220"/>
      <c r="R23" s="220"/>
      <c r="S23" s="239"/>
      <c r="T23" s="234"/>
      <c r="U23" s="234"/>
      <c r="V23" s="234"/>
      <c r="W23" s="233"/>
      <c r="X23" s="233"/>
      <c r="Y23" s="233"/>
      <c r="Z23" s="242"/>
      <c r="AA23" s="220"/>
      <c r="AB23" s="220"/>
      <c r="AC23" s="227"/>
      <c r="AD23" s="227"/>
      <c r="AE23" s="239"/>
      <c r="AF23" s="234"/>
      <c r="AG23" s="234"/>
      <c r="AH23" s="234"/>
      <c r="AI23" s="233"/>
      <c r="AJ23" s="233"/>
      <c r="AK23" s="233"/>
      <c r="AL23" s="242"/>
      <c r="AM23" s="220"/>
      <c r="AN23" s="220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  <c r="BJ23" s="221"/>
      <c r="BK23" s="221"/>
      <c r="BL23" s="255"/>
    </row>
    <row r="24" spans="1:64" x14ac:dyDescent="0.2">
      <c r="A24" s="254"/>
      <c r="B24" s="221"/>
      <c r="C24" s="221"/>
      <c r="D24" s="221"/>
      <c r="E24" s="221"/>
      <c r="F24" s="221"/>
      <c r="G24" s="221"/>
      <c r="H24" s="220"/>
      <c r="I24" s="220"/>
      <c r="J24" s="220"/>
      <c r="K24" s="220"/>
      <c r="L24" s="220"/>
      <c r="M24" s="220"/>
      <c r="N24" s="220"/>
      <c r="O24" s="227"/>
      <c r="P24" s="227"/>
      <c r="Q24" s="227"/>
      <c r="R24" s="220"/>
      <c r="S24" s="240"/>
      <c r="T24" s="237"/>
      <c r="U24" s="231"/>
      <c r="V24" s="240"/>
      <c r="W24" s="235"/>
      <c r="X24" s="235"/>
      <c r="Y24" s="235"/>
      <c r="Z24" s="243"/>
      <c r="AA24" s="220"/>
      <c r="AB24" s="220"/>
      <c r="AC24" s="227"/>
      <c r="AD24" s="227"/>
      <c r="AE24" s="240"/>
      <c r="AF24" s="237"/>
      <c r="AG24" s="231"/>
      <c r="AH24" s="240"/>
      <c r="AI24" s="235"/>
      <c r="AJ24" s="235"/>
      <c r="AK24" s="235"/>
      <c r="AL24" s="243"/>
      <c r="AM24" s="220"/>
      <c r="AN24" s="220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1"/>
      <c r="BJ24" s="221"/>
      <c r="BK24" s="221"/>
      <c r="BL24" s="255"/>
    </row>
    <row r="25" spans="1:64" x14ac:dyDescent="0.2">
      <c r="A25" s="254"/>
      <c r="B25" s="221"/>
      <c r="C25" s="221"/>
      <c r="D25" s="221"/>
      <c r="E25" s="221"/>
      <c r="F25" s="221"/>
      <c r="G25" s="221"/>
      <c r="H25" s="221"/>
      <c r="I25" s="221"/>
      <c r="J25" s="220"/>
      <c r="K25" s="220"/>
      <c r="L25" s="220"/>
      <c r="M25" s="220"/>
      <c r="N25" s="220"/>
      <c r="O25" s="220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7"/>
      <c r="AC25" s="227"/>
      <c r="AD25" s="227"/>
      <c r="AE25" s="227"/>
      <c r="AF25" s="227"/>
      <c r="AG25" s="227"/>
      <c r="AH25" s="227"/>
      <c r="AI25" s="220"/>
      <c r="AJ25" s="220"/>
      <c r="AK25" s="220"/>
      <c r="AL25" s="220"/>
      <c r="AM25" s="220"/>
      <c r="AN25" s="220"/>
      <c r="AO25" s="221"/>
      <c r="AP25" s="221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1"/>
      <c r="BC25" s="221"/>
      <c r="BD25" s="221"/>
      <c r="BE25" s="221"/>
      <c r="BF25" s="221"/>
      <c r="BG25" s="221"/>
      <c r="BH25" s="221"/>
      <c r="BI25" s="221"/>
      <c r="BJ25" s="221"/>
      <c r="BK25" s="221"/>
      <c r="BL25" s="255"/>
    </row>
    <row r="26" spans="1:64" x14ac:dyDescent="0.2">
      <c r="A26" s="254"/>
      <c r="B26" s="221"/>
      <c r="C26" s="221"/>
      <c r="D26" s="221"/>
      <c r="E26" s="221"/>
      <c r="F26" s="221"/>
      <c r="G26" s="221"/>
      <c r="H26" s="221"/>
      <c r="I26" s="221"/>
      <c r="J26" s="221"/>
      <c r="K26" s="221"/>
      <c r="L26" s="220"/>
      <c r="M26" s="220"/>
      <c r="N26" s="220"/>
      <c r="O26" s="220"/>
      <c r="P26" s="220"/>
      <c r="Q26" s="227"/>
      <c r="R26" s="227"/>
      <c r="S26" s="227"/>
      <c r="T26" s="227"/>
      <c r="U26" s="227"/>
      <c r="V26" s="227"/>
      <c r="W26" s="227"/>
      <c r="X26" s="227"/>
      <c r="Y26" s="227"/>
      <c r="Z26" s="227"/>
      <c r="AA26" s="227"/>
      <c r="AB26" s="227"/>
      <c r="AC26" s="227"/>
      <c r="AD26" s="227"/>
      <c r="AE26" s="227"/>
      <c r="AF26" s="227"/>
      <c r="AG26" s="227"/>
      <c r="AH26" s="227"/>
      <c r="AI26" s="220"/>
      <c r="AJ26" s="220"/>
      <c r="AK26" s="220"/>
      <c r="AL26" s="220"/>
      <c r="AM26" s="220"/>
      <c r="AN26" s="220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  <c r="BD26" s="221"/>
      <c r="BE26" s="221"/>
      <c r="BF26" s="221"/>
      <c r="BG26" s="221"/>
      <c r="BH26" s="221"/>
      <c r="BI26" s="221"/>
      <c r="BJ26" s="221"/>
      <c r="BK26" s="221"/>
      <c r="BL26" s="255"/>
    </row>
    <row r="27" spans="1:64" x14ac:dyDescent="0.2">
      <c r="A27" s="254"/>
      <c r="B27" s="221"/>
      <c r="C27" s="221"/>
      <c r="D27" s="221"/>
      <c r="E27" s="221"/>
      <c r="F27" s="221"/>
      <c r="G27" s="221"/>
      <c r="H27" s="221"/>
      <c r="I27" s="221"/>
      <c r="J27" s="221"/>
      <c r="K27" s="221"/>
      <c r="L27" s="221"/>
      <c r="M27" s="221"/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1"/>
      <c r="BC27" s="221"/>
      <c r="BD27" s="221"/>
      <c r="BE27" s="221"/>
      <c r="BF27" s="221"/>
      <c r="BG27" s="221"/>
      <c r="BH27" s="221"/>
      <c r="BI27" s="221"/>
      <c r="BJ27" s="221"/>
      <c r="BK27" s="221"/>
      <c r="BL27" s="255"/>
    </row>
    <row r="28" spans="1:64" x14ac:dyDescent="0.2">
      <c r="A28" s="254"/>
      <c r="B28" s="221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1"/>
      <c r="BC28" s="221"/>
      <c r="BD28" s="221"/>
      <c r="BE28" s="221"/>
      <c r="BF28" s="221"/>
      <c r="BG28" s="221"/>
      <c r="BH28" s="221"/>
      <c r="BI28" s="221"/>
      <c r="BJ28" s="221"/>
      <c r="BK28" s="221"/>
      <c r="BL28" s="255"/>
    </row>
    <row r="29" spans="1:64" x14ac:dyDescent="0.2">
      <c r="A29" s="254"/>
      <c r="B29" s="221"/>
      <c r="C29" s="221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1"/>
      <c r="BC29" s="221"/>
      <c r="BD29" s="221"/>
      <c r="BE29" s="221"/>
      <c r="BF29" s="221"/>
      <c r="BG29" s="221"/>
      <c r="BH29" s="221"/>
      <c r="BI29" s="221"/>
      <c r="BJ29" s="221"/>
      <c r="BK29" s="221"/>
      <c r="BL29" s="255"/>
    </row>
    <row r="30" spans="1:64" x14ac:dyDescent="0.2">
      <c r="A30" s="254"/>
      <c r="B30" s="221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1"/>
      <c r="BC30" s="221"/>
      <c r="BD30" s="221"/>
      <c r="BE30" s="221"/>
      <c r="BF30" s="221"/>
      <c r="BG30" s="221"/>
      <c r="BH30" s="221"/>
      <c r="BI30" s="221"/>
      <c r="BJ30" s="221"/>
      <c r="BK30" s="221"/>
      <c r="BL30" s="255"/>
    </row>
    <row r="31" spans="1:64" x14ac:dyDescent="0.2">
      <c r="A31" s="254"/>
      <c r="B31" s="221"/>
      <c r="C31" s="221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21"/>
      <c r="BA31" s="221"/>
      <c r="BB31" s="221"/>
      <c r="BC31" s="221"/>
      <c r="BD31" s="221"/>
      <c r="BE31" s="221"/>
      <c r="BF31" s="221"/>
      <c r="BG31" s="221"/>
      <c r="BH31" s="221"/>
      <c r="BI31" s="221"/>
      <c r="BJ31" s="221"/>
      <c r="BK31" s="221"/>
      <c r="BL31" s="255"/>
    </row>
    <row r="32" spans="1:64" ht="13.5" thickBot="1" x14ac:dyDescent="0.25">
      <c r="A32" s="256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8"/>
    </row>
    <row r="36" spans="29:29" x14ac:dyDescent="0.2">
      <c r="AC36" s="3" t="s">
        <v>101</v>
      </c>
    </row>
    <row r="50" spans="18:19" x14ac:dyDescent="0.2">
      <c r="R50" s="3" t="s">
        <v>788</v>
      </c>
      <c r="S50" s="3" t="s">
        <v>101</v>
      </c>
    </row>
  </sheetData>
  <conditionalFormatting sqref="AQ19:AV19 BC19:BD19">
    <cfRule type="cellIs" dxfId="388" priority="18" operator="equal">
      <formula>1</formula>
    </cfRule>
  </conditionalFormatting>
  <conditionalFormatting sqref="AQ19">
    <cfRule type="cellIs" dxfId="387" priority="19" operator="equal">
      <formula>2</formula>
    </cfRule>
  </conditionalFormatting>
  <conditionalFormatting sqref="AQ24:BK24">
    <cfRule type="cellIs" dxfId="386" priority="16" operator="equal">
      <formula>1</formula>
    </cfRule>
  </conditionalFormatting>
  <conditionalFormatting sqref="AQ24">
    <cfRule type="cellIs" dxfId="385" priority="17" operator="equal">
      <formula>2</formula>
    </cfRule>
  </conditionalFormatting>
  <conditionalFormatting sqref="G8:H8 Q8:R8">
    <cfRule type="cellIs" dxfId="384" priority="13" operator="equal">
      <formula>1</formula>
    </cfRule>
  </conditionalFormatting>
  <conditionalFormatting sqref="G8:H8">
    <cfRule type="cellIs" dxfId="382" priority="14" operator="equal">
      <formula>2</formula>
    </cfRule>
  </conditionalFormatting>
  <conditionalFormatting sqref="G3:R3 AC3:AE3">
    <cfRule type="cellIs" dxfId="381" priority="10" operator="equal">
      <formula>1</formula>
    </cfRule>
  </conditionalFormatting>
  <conditionalFormatting sqref="G3:K3">
    <cfRule type="cellIs" dxfId="379" priority="11" operator="equal">
      <formula>2</formula>
    </cfRule>
  </conditionalFormatting>
  <conditionalFormatting sqref="R9">
    <cfRule type="cellIs" dxfId="378" priority="9" operator="equal">
      <formula>1</formula>
    </cfRule>
  </conditionalFormatting>
  <conditionalFormatting sqref="R10">
    <cfRule type="cellIs" dxfId="377" priority="8" operator="equal">
      <formula>1</formula>
    </cfRule>
  </conditionalFormatting>
  <conditionalFormatting sqref="Q10">
    <cfRule type="cellIs" dxfId="376" priority="7" operator="equal">
      <formula>1</formula>
    </cfRule>
  </conditionalFormatting>
  <conditionalFormatting sqref="AD24">
    <cfRule type="cellIs" dxfId="375" priority="5" operator="equal">
      <formula>1</formula>
    </cfRule>
  </conditionalFormatting>
  <conditionalFormatting sqref="AD24">
    <cfRule type="cellIs" dxfId="374" priority="6" operator="equal">
      <formula>2</formula>
    </cfRule>
  </conditionalFormatting>
  <conditionalFormatting sqref="BE19:BK19">
    <cfRule type="cellIs" dxfId="355" priority="4" operator="equal">
      <formula>1</formula>
    </cfRule>
  </conditionalFormatting>
  <conditionalFormatting sqref="AY17:AZ17">
    <cfRule type="cellIs" dxfId="354" priority="3" operator="equal">
      <formula>1</formula>
    </cfRule>
  </conditionalFormatting>
  <conditionalFormatting sqref="BA17:BB17">
    <cfRule type="cellIs" dxfId="353" priority="2" operator="equal">
      <formula>1</formula>
    </cfRule>
  </conditionalFormatting>
  <conditionalFormatting sqref="BC17:BD17">
    <cfRule type="cellIs" dxfId="352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Play</vt:lpstr>
      <vt:lpstr>Battle</vt:lpstr>
      <vt:lpstr>info</vt:lpstr>
      <vt:lpstr>Data</vt:lpstr>
      <vt:lpstr>0.0</vt:lpstr>
      <vt:lpstr>Col</vt:lpstr>
      <vt:lpstr>Row</vt:lpstr>
    </vt:vector>
  </TitlesOfParts>
  <Company>Draeger Safety Benelux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Wietsma, Jelle</dc:creator>
  <cp:lastModifiedBy>Jelle</cp:lastModifiedBy>
  <dcterms:created xsi:type="dcterms:W3CDTF">2013-06-10T14:07:29Z</dcterms:created>
  <dcterms:modified xsi:type="dcterms:W3CDTF">2013-06-17T20:30:00Z</dcterms:modified>
</cp:coreProperties>
</file>